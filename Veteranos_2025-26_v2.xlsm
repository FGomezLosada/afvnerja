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b73c766ecb86699c/_VeteranosFC/"/>
    </mc:Choice>
  </mc:AlternateContent>
  <xr:revisionPtr revIDLastSave="98670" documentId="8_{680D460B-A938-4E9F-9D65-EE820F453B79}" xr6:coauthVersionLast="47" xr6:coauthVersionMax="47" xr10:uidLastSave="{B5AF6C50-029C-4444-9EB7-5CDA9EEE2F55}"/>
  <bookViews>
    <workbookView xWindow="-120" yWindow="-120" windowWidth="38640" windowHeight="21120" activeTab="3" xr2:uid="{25306235-C656-42E1-A686-B4ACB5932B05}"/>
  </bookViews>
  <sheets>
    <sheet name="INFO GENERAL" sheetId="6" r:id="rId1"/>
    <sheet name="RESPONSABLES" sheetId="7" r:id="rId2"/>
    <sheet name="CALENDARIO_EVENTOS" sheetId="2" r:id="rId3"/>
    <sheet name="CUOTAS" sheetId="3" r:id="rId4"/>
    <sheet name="DORSALES" sheetId="10" r:id="rId5"/>
    <sheet name="CENA_NAVIDAD" sheetId="9" r:id="rId6"/>
    <sheet name="CONTROL_ASISTENCIAS" sheetId="4" r:id="rId7"/>
    <sheet name="ESTADISTICAS" sheetId="8" r:id="rId8"/>
    <sheet name="LISTA_VIAJE_2027" sheetId="11" r:id="rId9"/>
  </sheets>
  <definedNames>
    <definedName name="_xlnm._FilterDatabase" localSheetId="5" hidden="1">CENA_NAVIDAD!$A$1:$E$1</definedName>
    <definedName name="_xlnm._FilterDatabase" localSheetId="3" hidden="1">CUOTAS!$F$1:$J$1</definedName>
    <definedName name="_xlnm._FilterDatabase" localSheetId="4" hidden="1">DORSALES!$A$1:$F$1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1" i="3" l="1"/>
  <c r="D58" i="9"/>
  <c r="C58" i="9"/>
  <c r="B58" i="9"/>
  <c r="G61" i="3"/>
  <c r="G62" i="3" l="1"/>
  <c r="B59" i="9"/>
</calcChain>
</file>

<file path=xl/sharedStrings.xml><?xml version="1.0" encoding="utf-8"?>
<sst xmlns="http://schemas.openxmlformats.org/spreadsheetml/2006/main" count="631" uniqueCount="338">
  <si>
    <t>Cele</t>
  </si>
  <si>
    <t>Daipa</t>
  </si>
  <si>
    <t>Ricardo</t>
  </si>
  <si>
    <t>Valero</t>
  </si>
  <si>
    <t>Luis</t>
  </si>
  <si>
    <t>Nocha</t>
  </si>
  <si>
    <t>Charlie</t>
  </si>
  <si>
    <t>David Ponce</t>
  </si>
  <si>
    <t>Gustavo Pezzi</t>
  </si>
  <si>
    <t>Javi Rivas</t>
  </si>
  <si>
    <t>Juan Carlos</t>
  </si>
  <si>
    <t>Jorge Atencia</t>
  </si>
  <si>
    <t>Kevin</t>
  </si>
  <si>
    <t>Marcos</t>
  </si>
  <si>
    <t>Raul</t>
  </si>
  <si>
    <t>Agus</t>
  </si>
  <si>
    <t>* Importe: 60€</t>
  </si>
  <si>
    <t>* Plazo límite: 25 de septiembre</t>
  </si>
  <si>
    <t>* Formas de pago:</t>
  </si>
  <si>
    <t xml:space="preserve">            • Efectivo → a Juan Linares</t>
  </si>
  <si>
    <t xml:space="preserve">            • Transferencia → preguntar al presi</t>
  </si>
  <si>
    <t>* Césped natural → Enrique López Cuenca</t>
  </si>
  <si>
    <t>* Césped artificial → Pepe Luis Bobadilla</t>
  </si>
  <si>
    <t>* Días: Lunes (oficial) / Miércoles (posible) / Jueves (excepciones)</t>
  </si>
  <si>
    <t xml:space="preserve">* Inscripción: cierra a las 16:00h (mínimo 14 jugadores)  </t>
  </si>
  <si>
    <t xml:space="preserve">       • Si hay &lt;14, se intentará no cancelar → se buscará grupo externo para partido</t>
  </si>
  <si>
    <t>* Control de asistencia:</t>
  </si>
  <si>
    <t xml:space="preserve">       • Compromiso mínimo: 15-20 entrenos/año</t>
  </si>
  <si>
    <t xml:space="preserve">       • Avisar con antelación para borrarse de la lista</t>
  </si>
  <si>
    <t xml:space="preserve">       • Comunicar ausencias prolongadas (trabajo, lesión, enfermedad…)</t>
  </si>
  <si>
    <t xml:space="preserve">       • Excepciones:</t>
  </si>
  <si>
    <t xml:space="preserve">            * Socios “colaborativos” (pagan cuota, no cuentan para entrenos)</t>
  </si>
  <si>
    <t xml:space="preserve">            * Socios “activos” (apoyan en gestión/organización)</t>
  </si>
  <si>
    <t xml:space="preserve">       • Sorteo entre 2° al 10° → un 50% descuento prox. cuota</t>
  </si>
  <si>
    <t>* Todos los socios podrán ser convocados</t>
  </si>
  <si>
    <t>* La convocatoria no garantiza reparto equitativo de minutos</t>
  </si>
  <si>
    <t>* Los minutos de juego serán decisión del entrenador (criterios deportivos y de grupo)</t>
  </si>
  <si>
    <t>* La Asociación cubrirá: árbitros + “tercer tiempo” (comida y bebida)</t>
  </si>
  <si>
    <t>* Organización de Cena de Navidad (final nov./inicio dic.) → cada socio paga su menú</t>
  </si>
  <si>
    <t>* Posibilidad de ropa deportiva (pagada por patrocinadores)</t>
  </si>
  <si>
    <t>1) Cuota de socio</t>
  </si>
  <si>
    <t>2) Instalaciones</t>
  </si>
  <si>
    <t>3) Entrenamientos (20:45h)</t>
  </si>
  <si>
    <t>4) Convocatorias a eventos</t>
  </si>
  <si>
    <t>5) Otros</t>
  </si>
  <si>
    <t>* Responsable: Juan José Bautista</t>
  </si>
  <si>
    <t>* Funciones: Organización de actos, partidos y cena de Navidad</t>
  </si>
  <si>
    <t>* Responsable: Juan Linares</t>
  </si>
  <si>
    <t>* Funciones: Recepción de pagos (efectivo/transferencia)</t>
  </si>
  <si>
    <t>* Funciones: Lista de asistencia, material (balones, petos), equipos</t>
  </si>
  <si>
    <t>* Responsable: Luis “Chilches”</t>
  </si>
  <si>
    <t>* Funciones: Publicaciones en Instagram y Facebook</t>
  </si>
  <si>
    <t>* Responsable: Juan Linares y Paco Gómez</t>
  </si>
  <si>
    <t>SEPTIEMBRE 2025:</t>
  </si>
  <si>
    <t>OCTUBRE 2025:</t>
  </si>
  <si>
    <t>NOVIEMBRE 2025:</t>
  </si>
  <si>
    <t>DICIEMBRE 2025:</t>
  </si>
  <si>
    <t>ENERO 2026:</t>
  </si>
  <si>
    <t>FEBRERO 2026:</t>
  </si>
  <si>
    <t>MARZO 2026:</t>
  </si>
  <si>
    <t>ABRIL 2026:</t>
  </si>
  <si>
    <t>MAYO 2026:</t>
  </si>
  <si>
    <t>JUNIO 2026:</t>
  </si>
  <si>
    <t>* No hay por Feria de Nerja</t>
  </si>
  <si>
    <t>Juan Linares</t>
  </si>
  <si>
    <t>David Dgreens</t>
  </si>
  <si>
    <t>Alberto teto</t>
  </si>
  <si>
    <t>Juanillo boticario</t>
  </si>
  <si>
    <t>Paco G.</t>
  </si>
  <si>
    <t>Bau</t>
  </si>
  <si>
    <t>Benitez</t>
  </si>
  <si>
    <t>Albert Isern</t>
  </si>
  <si>
    <t>Paco Pérez</t>
  </si>
  <si>
    <t>Oliva</t>
  </si>
  <si>
    <t>Omar</t>
  </si>
  <si>
    <t>Álvaro</t>
  </si>
  <si>
    <t>Frank</t>
  </si>
  <si>
    <t>Berni</t>
  </si>
  <si>
    <t>Manolo chino</t>
  </si>
  <si>
    <t>José Haro</t>
  </si>
  <si>
    <t>Sergio Velero</t>
  </si>
  <si>
    <t>José García</t>
  </si>
  <si>
    <t>Julio Masía</t>
  </si>
  <si>
    <t>Por determinar</t>
  </si>
  <si>
    <t>Alberto nervio</t>
  </si>
  <si>
    <t>Alberto torero</t>
  </si>
  <si>
    <t>Antonio Martin</t>
  </si>
  <si>
    <t>Antonio Pitu</t>
  </si>
  <si>
    <t>Mario Berutti</t>
  </si>
  <si>
    <t>David pollapelo</t>
  </si>
  <si>
    <t>Marcelo Berutti</t>
  </si>
  <si>
    <t>Miguel paina</t>
  </si>
  <si>
    <t>Miguel Gómez</t>
  </si>
  <si>
    <t>Miguel Hacha</t>
  </si>
  <si>
    <t>Patrick</t>
  </si>
  <si>
    <t>Ruben</t>
  </si>
  <si>
    <t>Ruben Broncano</t>
  </si>
  <si>
    <t>Sergio peligro</t>
  </si>
  <si>
    <t>Víctor Portuñol</t>
  </si>
  <si>
    <t>Día 2: XII Trofeo Veladilla San Miguel: Combinado Barriada Protegidas + Veteranos Nerja VS Veteranos Vélez (11:00h - Estadio Pepe Luis Bobadilla)</t>
  </si>
  <si>
    <t>Día 27: Leyendas Andaluzas + Ex Profesionales VS Veteranos Nerja</t>
  </si>
  <si>
    <t>Días 3 y 4: Campeonato de España Veteranos (en Nerja)</t>
  </si>
  <si>
    <t>SOCIO</t>
  </si>
  <si>
    <t>PAGADO</t>
  </si>
  <si>
    <t>* Premios al "compromiso" fin de temporada:</t>
  </si>
  <si>
    <t>21-09-25 (Veladilla 2-7)</t>
  </si>
  <si>
    <t>TOTAL</t>
  </si>
  <si>
    <t>0=Apuntado y borrado</t>
  </si>
  <si>
    <t>1=Apuntado y asiste</t>
  </si>
  <si>
    <t>-1=Apuntado y no asiste</t>
  </si>
  <si>
    <t>1) Planificación y eventos:</t>
  </si>
  <si>
    <t>2) Cuotas de socio:</t>
  </si>
  <si>
    <t>3) Entrenamientos:</t>
  </si>
  <si>
    <t>4) Redes sociales:</t>
  </si>
  <si>
    <t>5) Petos:</t>
  </si>
  <si>
    <t>Día 27: Veteranos Nerja VS C.F. Bromley Metropolitan Police (11:00h - Pepe Luis Bobadilla)</t>
  </si>
  <si>
    <t>Francis Haro</t>
  </si>
  <si>
    <t>Sergio Pozo</t>
  </si>
  <si>
    <t>*Funciones a cambio de la cuota: 1-Recoger los petos el lunes o a quien se lo haya llevado, 2-Lavarlos, 3-LLevarselo al entreno o a uno que este apuntado en el entreno del lunes</t>
  </si>
  <si>
    <t>50% por gasolina</t>
  </si>
  <si>
    <t>15-09-25</t>
  </si>
  <si>
    <t>23-09-25</t>
  </si>
  <si>
    <t>60€ por Responsable petos</t>
  </si>
  <si>
    <t>*Responsable: Sergio Bautista</t>
  </si>
  <si>
    <t>TOTAL_ASISTENCIAS</t>
  </si>
  <si>
    <t>Franchi Benitez</t>
  </si>
  <si>
    <t>GASTOS</t>
  </si>
  <si>
    <t>27-09-25 (Bromley 1-1*)</t>
  </si>
  <si>
    <t>Davilillo</t>
  </si>
  <si>
    <t>02-10-25</t>
  </si>
  <si>
    <t>15-10-25</t>
  </si>
  <si>
    <t>20-10-25</t>
  </si>
  <si>
    <t>Día ¿?: Veleño VS Veteranos Nerja (propuesta votada NO domingo 6 noviembre)</t>
  </si>
  <si>
    <t>03-11-25</t>
  </si>
  <si>
    <t>27-10-25</t>
  </si>
  <si>
    <t>??</t>
  </si>
  <si>
    <t>10-11-25</t>
  </si>
  <si>
    <t>12-11-25</t>
  </si>
  <si>
    <t>Iván Mejías</t>
  </si>
  <si>
    <t xml:space="preserve">       • Mayor nº de asistencias (entrenos, eventos...) → Cena para dos (60€)</t>
  </si>
  <si>
    <t>17-11-25</t>
  </si>
  <si>
    <t>Alberto García</t>
  </si>
  <si>
    <t>Ruben arconada</t>
  </si>
  <si>
    <t>Subtotal</t>
  </si>
  <si>
    <t>Aporta asociación (5€/socio)</t>
  </si>
  <si>
    <t>TOTAL RECAUDADO</t>
  </si>
  <si>
    <t>TOTAL MENUS</t>
  </si>
  <si>
    <t>MENU SOLOMILLO (42€)</t>
  </si>
  <si>
    <t>MENU FRITURA (44€)</t>
  </si>
  <si>
    <t>MENU ENTRECOT (48€)</t>
  </si>
  <si>
    <t>DORSAL EQUIP. 1</t>
  </si>
  <si>
    <t>DORSAL EQUIP. 2</t>
  </si>
  <si>
    <t>NOMBRE EQUIP. 1</t>
  </si>
  <si>
    <t>NOMBRE EQUIP. 2</t>
  </si>
  <si>
    <t>Alberto Isern</t>
  </si>
  <si>
    <t>Jóse H.</t>
  </si>
  <si>
    <t>Juan B.</t>
  </si>
  <si>
    <t>Francis</t>
  </si>
  <si>
    <t>Miguel</t>
  </si>
  <si>
    <t>Martínez</t>
  </si>
  <si>
    <t>Víctor</t>
  </si>
  <si>
    <t>Teto</t>
  </si>
  <si>
    <t>Pitu</t>
  </si>
  <si>
    <t>Ponce</t>
  </si>
  <si>
    <t>Berutti</t>
  </si>
  <si>
    <t>Tomy</t>
  </si>
  <si>
    <t>José G.</t>
  </si>
  <si>
    <t>Vargas</t>
  </si>
  <si>
    <t>Benítez</t>
  </si>
  <si>
    <t>Raúl</t>
  </si>
  <si>
    <t>Gallardo</t>
  </si>
  <si>
    <t>J. Carlos</t>
  </si>
  <si>
    <t>Broncano</t>
  </si>
  <si>
    <t>Alberto</t>
  </si>
  <si>
    <t>Alberto Cortés</t>
  </si>
  <si>
    <t>David García</t>
  </si>
  <si>
    <t>Peskailla</t>
  </si>
  <si>
    <t>Julio</t>
  </si>
  <si>
    <t>Luismi</t>
  </si>
  <si>
    <t>Alex (vélez)??</t>
  </si>
  <si>
    <t>Davilillo??</t>
  </si>
  <si>
    <t>Miguel Oñate</t>
  </si>
  <si>
    <t>Rafa villasclaras (invitado por Bau)</t>
  </si>
  <si>
    <t>24-11-25</t>
  </si>
  <si>
    <t>Manuel</t>
  </si>
  <si>
    <t xml:space="preserve"> </t>
  </si>
  <si>
    <t>falta 1€</t>
  </si>
  <si>
    <t>01-12-25</t>
  </si>
  <si>
    <t>Álvaro alfafa</t>
  </si>
  <si>
    <t>Copa cena navidad</t>
  </si>
  <si>
    <t>a devolver</t>
  </si>
  <si>
    <t>08-12-25</t>
  </si>
  <si>
    <t>bote cena navidad</t>
  </si>
  <si>
    <t>David d´greens</t>
  </si>
  <si>
    <t>15-12-25</t>
  </si>
  <si>
    <t>Sergio (Pozo)</t>
  </si>
  <si>
    <t>17-12-25</t>
  </si>
  <si>
    <t>22-12-25</t>
  </si>
  <si>
    <t>27-12-25 (Memorial)</t>
  </si>
  <si>
    <t>Quique</t>
  </si>
  <si>
    <t>árbitro partido guiris</t>
  </si>
  <si>
    <t>Mariano</t>
  </si>
  <si>
    <t>12-01-26</t>
  </si>
  <si>
    <t>19-01-26</t>
  </si>
  <si>
    <t>J. De Haro</t>
  </si>
  <si>
    <t>Iván</t>
  </si>
  <si>
    <t>A. Gómez</t>
  </si>
  <si>
    <t>Bautista</t>
  </si>
  <si>
    <t>A. Guerrero</t>
  </si>
  <si>
    <t>Sergio</t>
  </si>
  <si>
    <t>Alberto Jaime</t>
  </si>
  <si>
    <t>Albert</t>
  </si>
  <si>
    <t>Loren</t>
  </si>
  <si>
    <t>Pozo</t>
  </si>
  <si>
    <t>R. Omar</t>
  </si>
  <si>
    <t>Peligro</t>
  </si>
  <si>
    <t>Raúl Ruiz</t>
  </si>
  <si>
    <t>Charly</t>
  </si>
  <si>
    <t>M. Sánchez</t>
  </si>
  <si>
    <t>26-01-26</t>
  </si>
  <si>
    <t>02-02-26</t>
  </si>
  <si>
    <t>09-02-26</t>
  </si>
  <si>
    <t>12-02-26</t>
  </si>
  <si>
    <t>16-02-26</t>
  </si>
  <si>
    <t>Borja</t>
  </si>
  <si>
    <t>23-02-26</t>
  </si>
  <si>
    <t>04-03-26</t>
  </si>
  <si>
    <t>09-03-26</t>
  </si>
  <si>
    <t>16-03-26</t>
  </si>
  <si>
    <t>25-03-26</t>
  </si>
  <si>
    <t>Paco Chispa</t>
  </si>
  <si>
    <t>13-04-26</t>
  </si>
  <si>
    <t>Media temporada</t>
  </si>
  <si>
    <t>60€ pirata tv sede</t>
  </si>
  <si>
    <t>20-04-26</t>
  </si>
  <si>
    <t>Javi kiski</t>
  </si>
  <si>
    <t>Se mete en grupo 20 abril</t>
  </si>
  <si>
    <t>OBSERVACIONES</t>
  </si>
  <si>
    <t>Equipaciones blancasy verdes (Quique, Mariano) y Marcelo y Rafa?</t>
  </si>
  <si>
    <t>Jairo</t>
  </si>
  <si>
    <t>Ya en 2026-27</t>
  </si>
  <si>
    <t>27-04-26</t>
  </si>
  <si>
    <t>XL</t>
  </si>
  <si>
    <t>10 de propina</t>
  </si>
  <si>
    <t>Morette</t>
  </si>
  <si>
    <t>*Ha pedido el 81 y le llegó con el 80</t>
  </si>
  <si>
    <t>06-05-26</t>
  </si>
  <si>
    <t>L</t>
  </si>
  <si>
    <t>11-05-26</t>
  </si>
  <si>
    <t>SUBTOTAL</t>
  </si>
  <si>
    <t>20-05-26</t>
  </si>
  <si>
    <t>Equipación moro y Borja</t>
  </si>
  <si>
    <t>23-05-26 (Salida Betis 2 -Nerja 1)</t>
  </si>
  <si>
    <t>27-05-26</t>
  </si>
  <si>
    <t>03-06-26</t>
  </si>
  <si>
    <t>Bocatas y bebidas Sevilla</t>
  </si>
  <si>
    <t>Cervezas Sevilla</t>
  </si>
  <si>
    <t>Árbitro Sevilla</t>
  </si>
  <si>
    <t>Caja magdalenas Sevilla</t>
  </si>
  <si>
    <t>Hielo y bebidas Sevilla</t>
  </si>
  <si>
    <t>08-06-26</t>
  </si>
  <si>
    <t>4 julio: Torneo triangular solidario "Por la sonrisa de Nahel". AFV Nerja-AFV Vélez-Combinado</t>
  </si>
  <si>
    <t>13-14 junio: Torneo veteranos (3 partidos)</t>
  </si>
  <si>
    <t>23 mayo: Veteranos R. Betis VS Veteranos Nerja (en Sevilla)</t>
  </si>
  <si>
    <t>Viaje Veteranos Barcelona. Partido contra Espanyol veteranos</t>
  </si>
  <si>
    <t>NOMBRE</t>
  </si>
  <si>
    <t>APELLIDOS</t>
  </si>
  <si>
    <t>APODO</t>
  </si>
  <si>
    <t>FECHA NACIMIENTO</t>
  </si>
  <si>
    <t>DNI</t>
  </si>
  <si>
    <t>Francisco Manuel</t>
  </si>
  <si>
    <t>Gómez Losada</t>
  </si>
  <si>
    <t>53154494E</t>
  </si>
  <si>
    <t>Mario Javier</t>
  </si>
  <si>
    <t>Berutti Bueno</t>
  </si>
  <si>
    <t>53154225Y</t>
  </si>
  <si>
    <t>Pérez Muñoz</t>
  </si>
  <si>
    <t>Francisco José</t>
  </si>
  <si>
    <t>53159218P</t>
  </si>
  <si>
    <t>Ruiz Herrera</t>
  </si>
  <si>
    <t>Pol</t>
  </si>
  <si>
    <t>53159305A</t>
  </si>
  <si>
    <t>Carvalho</t>
  </si>
  <si>
    <t>Z2284413N</t>
  </si>
  <si>
    <t>Uclés Gálvez</t>
  </si>
  <si>
    <t>Bernardo</t>
  </si>
  <si>
    <t>30821149E</t>
  </si>
  <si>
    <t>Pomar Herrero</t>
  </si>
  <si>
    <t>Alvaro Javier</t>
  </si>
  <si>
    <t>53157102P</t>
  </si>
  <si>
    <t>Agustin</t>
  </si>
  <si>
    <t>Vargas Gómez</t>
  </si>
  <si>
    <t>08922706V</t>
  </si>
  <si>
    <t>Zarza Gómez</t>
  </si>
  <si>
    <t>53741689G</t>
  </si>
  <si>
    <t>Moles Quintero</t>
  </si>
  <si>
    <t>53366251H</t>
  </si>
  <si>
    <t>Gómez Gómez</t>
  </si>
  <si>
    <t>David</t>
  </si>
  <si>
    <t>Juan</t>
  </si>
  <si>
    <t>53155526L</t>
  </si>
  <si>
    <t>Haro Gálvez</t>
  </si>
  <si>
    <t>Celestino</t>
  </si>
  <si>
    <t>53151472K</t>
  </si>
  <si>
    <t>Chazarreta Ríos</t>
  </si>
  <si>
    <t>Julio A.</t>
  </si>
  <si>
    <t>54373490H</t>
  </si>
  <si>
    <t>Prieto Gómez</t>
  </si>
  <si>
    <t>53155044C</t>
  </si>
  <si>
    <t>García Moreno</t>
  </si>
  <si>
    <t>José María</t>
  </si>
  <si>
    <t>77471090Y</t>
  </si>
  <si>
    <t>García Prieto</t>
  </si>
  <si>
    <t>48864075T</t>
  </si>
  <si>
    <t>Isern Oltra</t>
  </si>
  <si>
    <t>46612458Z</t>
  </si>
  <si>
    <t>Ponce Muñoz</t>
  </si>
  <si>
    <t>52582967E</t>
  </si>
  <si>
    <t>Broncano López</t>
  </si>
  <si>
    <t>Rubén</t>
  </si>
  <si>
    <t>53700257H</t>
  </si>
  <si>
    <t>Bueno Vigo</t>
  </si>
  <si>
    <t>Juan Miguel</t>
  </si>
  <si>
    <t>53159136H</t>
  </si>
  <si>
    <t>Rivas Ortega</t>
  </si>
  <si>
    <t>Francisco Javier</t>
  </si>
  <si>
    <t>77469786J</t>
  </si>
  <si>
    <t>Benítez Martín</t>
  </si>
  <si>
    <t xml:space="preserve">Francisco Miguel </t>
  </si>
  <si>
    <t>53700711N</t>
  </si>
  <si>
    <t>García Galvez</t>
  </si>
  <si>
    <t>53151575R</t>
  </si>
  <si>
    <t>08/18/1977</t>
  </si>
  <si>
    <t>Linares Montenegro</t>
  </si>
  <si>
    <t>77473113M</t>
  </si>
  <si>
    <t>Sánchez Leal</t>
  </si>
  <si>
    <t>Miguel Ángel</t>
  </si>
  <si>
    <t>77468704N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</si>
</sst>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i/>
      <sz val="14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7">
    <xf numFmtId="0" fontId="0" fillId="0" borderId="0" xfId="0"/>
    <xf numFmtId="0" fontId="18" fillId="0" borderId="0" xfId="0" applyFont="1"/>
    <xf numFmtId="49" fontId="0" fillId="0" borderId="0" xfId="0" applyNumberFormat="1"/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9" fillId="0" borderId="0" xfId="0" applyFont="1"/>
    <xf numFmtId="9" fontId="0" fillId="0" borderId="0" xfId="0" applyNumberFormat="1"/>
    <xf numFmtId="49" fontId="0" fillId="33" borderId="0" xfId="0" applyNumberFormat="1" applyFill="1"/>
    <xf numFmtId="0" fontId="0" fillId="33" borderId="0" xfId="0" applyFill="1"/>
    <xf numFmtId="49" fontId="16" fillId="0" borderId="0" xfId="0" applyNumberFormat="1" applyFont="1" applyAlignment="1">
      <alignment horizontal="center" vertical="center"/>
    </xf>
    <xf numFmtId="0" fontId="14" fillId="0" borderId="0" xfId="0" applyFont="1"/>
    <xf numFmtId="0" fontId="16" fillId="0" borderId="10" xfId="0" applyFont="1" applyBorder="1" applyAlignment="1">
      <alignment horizontal="center" vertical="center"/>
    </xf>
    <xf numFmtId="14" fontId="16" fillId="0" borderId="11" xfId="0" applyNumberFormat="1" applyFont="1" applyBorder="1" applyAlignment="1">
      <alignment horizontal="center" vertical="center"/>
    </xf>
    <xf numFmtId="0" fontId="16" fillId="0" borderId="0" xfId="0" applyFont="1" applyAlignment="1">
      <alignment horizontal="right"/>
    </xf>
    <xf numFmtId="0" fontId="22" fillId="0" borderId="0" xfId="0" applyFont="1"/>
    <xf numFmtId="2" fontId="20" fillId="0" borderId="0" xfId="0" applyNumberFormat="1" applyFont="1"/>
    <xf numFmtId="0" fontId="16" fillId="0" borderId="0" xfId="0" applyFont="1" applyAlignment="1">
      <alignment horizontal="right" vertical="center" wrapText="1"/>
    </xf>
    <xf numFmtId="0" fontId="16" fillId="0" borderId="10" xfId="0" applyFont="1" applyBorder="1" applyAlignment="1">
      <alignment horizontal="center" vertical="center" wrapText="1"/>
    </xf>
    <xf numFmtId="14" fontId="16" fillId="0" borderId="11" xfId="0" applyNumberFormat="1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14" fontId="16" fillId="0" borderId="0" xfId="0" applyNumberFormat="1" applyFont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4" fillId="0" borderId="0" xfId="0" applyFont="1"/>
    <xf numFmtId="49" fontId="16" fillId="0" borderId="12" xfId="0" applyNumberFormat="1" applyFont="1" applyBorder="1" applyAlignment="1">
      <alignment horizontal="center" vertical="center"/>
    </xf>
    <xf numFmtId="0" fontId="0" fillId="0" borderId="12" xfId="0" applyBorder="1"/>
    <xf numFmtId="0" fontId="25" fillId="0" borderId="0" xfId="0" applyFont="1"/>
    <xf numFmtId="0" fontId="0" fillId="0" borderId="0" xfId="0" applyAlignment="1">
      <alignment horizontal="right"/>
    </xf>
    <xf numFmtId="2" fontId="26" fillId="0" borderId="0" xfId="0" applyNumberFormat="1" applyFont="1"/>
    <xf numFmtId="2" fontId="14" fillId="0" borderId="0" xfId="0" applyNumberFormat="1" applyFont="1"/>
    <xf numFmtId="2" fontId="27" fillId="0" borderId="0" xfId="0" applyNumberFormat="1" applyFont="1"/>
    <xf numFmtId="0" fontId="28" fillId="0" borderId="0" xfId="0" applyFont="1" applyAlignment="1">
      <alignment horizontal="right"/>
    </xf>
    <xf numFmtId="0" fontId="29" fillId="0" borderId="0" xfId="0" applyFont="1"/>
    <xf numFmtId="14" fontId="29" fillId="0" borderId="0" xfId="0" applyNumberFormat="1" applyFont="1"/>
    <xf numFmtId="0" fontId="0" fillId="0" borderId="0" xfId="0" applyFont="1"/>
    <xf numFmtId="14" fontId="0" fillId="0" borderId="0" xfId="0" applyNumberFormat="1" applyFont="1"/>
    <xf numFmtId="14" fontId="30" fillId="0" borderId="0" xfId="0" applyNumberFormat="1" applyFont="1"/>
    <xf numFmtId="0" fontId="30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Asistencia individual acumulada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ESTADISTICAS!$A$2:$A$54</c:f>
              <c:strCache>
                <c:ptCount val="53"/>
                <c:pt idx="0">
                  <c:v>Alberto torero</c:v>
                </c:pt>
                <c:pt idx="1">
                  <c:v>Luis</c:v>
                </c:pt>
                <c:pt idx="2">
                  <c:v>Manolo chino</c:v>
                </c:pt>
                <c:pt idx="3">
                  <c:v>Nocha</c:v>
                </c:pt>
                <c:pt idx="4">
                  <c:v>Alberto García</c:v>
                </c:pt>
                <c:pt idx="5">
                  <c:v>Daipa</c:v>
                </c:pt>
                <c:pt idx="6">
                  <c:v>Francis Haro</c:v>
                </c:pt>
                <c:pt idx="7">
                  <c:v>Miguel paina</c:v>
                </c:pt>
                <c:pt idx="8">
                  <c:v>Gustavo Pezzi</c:v>
                </c:pt>
                <c:pt idx="9">
                  <c:v>Antonio Pitu</c:v>
                </c:pt>
                <c:pt idx="10">
                  <c:v>Charlie</c:v>
                </c:pt>
                <c:pt idx="11">
                  <c:v>Sergio Velero</c:v>
                </c:pt>
                <c:pt idx="12">
                  <c:v>Jairo</c:v>
                </c:pt>
                <c:pt idx="13">
                  <c:v>David Dgreens</c:v>
                </c:pt>
                <c:pt idx="14">
                  <c:v>José Haro</c:v>
                </c:pt>
                <c:pt idx="15">
                  <c:v>Ruben Broncano</c:v>
                </c:pt>
                <c:pt idx="16">
                  <c:v>Alberto nervio</c:v>
                </c:pt>
                <c:pt idx="17">
                  <c:v>Mariano</c:v>
                </c:pt>
                <c:pt idx="18">
                  <c:v>Omar</c:v>
                </c:pt>
                <c:pt idx="19">
                  <c:v>David pollapelo</c:v>
                </c:pt>
                <c:pt idx="20">
                  <c:v>Oliva</c:v>
                </c:pt>
                <c:pt idx="21">
                  <c:v>Ruben</c:v>
                </c:pt>
                <c:pt idx="22">
                  <c:v>Valero</c:v>
                </c:pt>
                <c:pt idx="23">
                  <c:v>Bau</c:v>
                </c:pt>
                <c:pt idx="24">
                  <c:v>David Ponce</c:v>
                </c:pt>
                <c:pt idx="25">
                  <c:v>Javi Rivas</c:v>
                </c:pt>
                <c:pt idx="26">
                  <c:v>Marcos</c:v>
                </c:pt>
                <c:pt idx="27">
                  <c:v>Sergio (Pozo)</c:v>
                </c:pt>
                <c:pt idx="28">
                  <c:v>Albert Isern</c:v>
                </c:pt>
                <c:pt idx="29">
                  <c:v>Patrick</c:v>
                </c:pt>
                <c:pt idx="30">
                  <c:v>Raul</c:v>
                </c:pt>
                <c:pt idx="31">
                  <c:v>Agus</c:v>
                </c:pt>
                <c:pt idx="32">
                  <c:v>Juan Linares</c:v>
                </c:pt>
                <c:pt idx="33">
                  <c:v>Borja</c:v>
                </c:pt>
                <c:pt idx="34">
                  <c:v>Quique</c:v>
                </c:pt>
                <c:pt idx="35">
                  <c:v>Ricardo</c:v>
                </c:pt>
                <c:pt idx="36">
                  <c:v>José García</c:v>
                </c:pt>
                <c:pt idx="37">
                  <c:v>Mario Berutti</c:v>
                </c:pt>
                <c:pt idx="38">
                  <c:v>Julio Masía</c:v>
                </c:pt>
                <c:pt idx="39">
                  <c:v>Miguel Hacha</c:v>
                </c:pt>
                <c:pt idx="40">
                  <c:v>Cele</c:v>
                </c:pt>
                <c:pt idx="41">
                  <c:v>Juanillo boticario</c:v>
                </c:pt>
                <c:pt idx="42">
                  <c:v>Benitez</c:v>
                </c:pt>
                <c:pt idx="43">
                  <c:v>Iván Mejías</c:v>
                </c:pt>
                <c:pt idx="44">
                  <c:v>Paco Pérez</c:v>
                </c:pt>
                <c:pt idx="45">
                  <c:v>Juan Carlos</c:v>
                </c:pt>
                <c:pt idx="46">
                  <c:v>Kevin</c:v>
                </c:pt>
                <c:pt idx="47">
                  <c:v>Álvaro</c:v>
                </c:pt>
                <c:pt idx="48">
                  <c:v>Franchi Benitez</c:v>
                </c:pt>
                <c:pt idx="49">
                  <c:v>Alberto teto</c:v>
                </c:pt>
                <c:pt idx="50">
                  <c:v>Víctor Portuñol</c:v>
                </c:pt>
                <c:pt idx="51">
                  <c:v>Berni</c:v>
                </c:pt>
                <c:pt idx="52">
                  <c:v>Paco G.</c:v>
                </c:pt>
              </c:strCache>
            </c:strRef>
          </c:cat>
          <c:val>
            <c:numRef>
              <c:f>ESTADISTICAS!$B$2:$B$54</c:f>
              <c:numCache>
                <c:formatCode>General</c:formatCode>
                <c:ptCount val="5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13</c:v>
                </c:pt>
                <c:pt idx="32">
                  <c:v>13</c:v>
                </c:pt>
                <c:pt idx="33">
                  <c:v>14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16</c:v>
                </c:pt>
                <c:pt idx="38">
                  <c:v>17</c:v>
                </c:pt>
                <c:pt idx="39">
                  <c:v>17</c:v>
                </c:pt>
                <c:pt idx="40">
                  <c:v>18</c:v>
                </c:pt>
                <c:pt idx="41">
                  <c:v>18</c:v>
                </c:pt>
                <c:pt idx="42">
                  <c:v>20</c:v>
                </c:pt>
                <c:pt idx="43">
                  <c:v>21</c:v>
                </c:pt>
                <c:pt idx="44">
                  <c:v>22</c:v>
                </c:pt>
                <c:pt idx="45">
                  <c:v>25</c:v>
                </c:pt>
                <c:pt idx="46">
                  <c:v>25</c:v>
                </c:pt>
                <c:pt idx="47">
                  <c:v>26</c:v>
                </c:pt>
                <c:pt idx="48">
                  <c:v>27</c:v>
                </c:pt>
                <c:pt idx="49">
                  <c:v>31</c:v>
                </c:pt>
                <c:pt idx="50">
                  <c:v>31</c:v>
                </c:pt>
                <c:pt idx="51">
                  <c:v>39</c:v>
                </c:pt>
                <c:pt idx="5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79-4C69-99AE-DF88EB8C6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5208191"/>
        <c:axId val="1985209151"/>
      </c:barChart>
      <c:catAx>
        <c:axId val="19852081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85209151"/>
        <c:crosses val="autoZero"/>
        <c:auto val="1"/>
        <c:lblAlgn val="ctr"/>
        <c:lblOffset val="100"/>
        <c:tickLblSkip val="1"/>
        <c:noMultiLvlLbl val="0"/>
      </c:catAx>
      <c:valAx>
        <c:axId val="1985209151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Total de asistencias (ponderadas)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85208191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695325</xdr:colOff>
      <xdr:row>0</xdr:row>
      <xdr:rowOff>127000</xdr:rowOff>
    </xdr:from>
    <xdr:to>
      <xdr:col>17</xdr:col>
      <xdr:colOff>187325</xdr:colOff>
      <xdr:row>86</xdr:row>
      <xdr:rowOff>76200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420B91C3-6819-1C11-7A93-2753569833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964C9-9155-4EEB-BE43-1A60D0726A71}">
  <sheetPr codeName="Hoja1"/>
  <dimension ref="A1:F31"/>
  <sheetViews>
    <sheetView workbookViewId="0">
      <selection activeCell="I23" sqref="I23"/>
    </sheetView>
  </sheetViews>
  <sheetFormatPr baseColWidth="10" defaultRowHeight="15" x14ac:dyDescent="0.25"/>
  <sheetData>
    <row r="1" spans="1:6" s="3" customFormat="1" ht="15.75" x14ac:dyDescent="0.25">
      <c r="A1" s="5" t="s">
        <v>40</v>
      </c>
      <c r="B1" s="5"/>
      <c r="C1" s="5"/>
      <c r="D1" s="5"/>
      <c r="E1" s="5"/>
      <c r="F1" s="5"/>
    </row>
    <row r="2" spans="1:6" ht="15.75" x14ac:dyDescent="0.25">
      <c r="A2" s="1"/>
      <c r="B2" s="1" t="s">
        <v>16</v>
      </c>
      <c r="C2" s="1"/>
      <c r="D2" s="1"/>
      <c r="E2" s="1"/>
      <c r="F2" s="1"/>
    </row>
    <row r="3" spans="1:6" ht="15.75" x14ac:dyDescent="0.25">
      <c r="A3" s="1"/>
      <c r="B3" s="1" t="s">
        <v>17</v>
      </c>
      <c r="C3" s="1"/>
      <c r="D3" s="1"/>
      <c r="E3" s="1"/>
      <c r="F3" s="1"/>
    </row>
    <row r="4" spans="1:6" ht="15.75" x14ac:dyDescent="0.25">
      <c r="A4" s="1"/>
      <c r="B4" s="1" t="s">
        <v>18</v>
      </c>
      <c r="C4" s="1"/>
      <c r="D4" s="1"/>
      <c r="E4" s="1"/>
      <c r="F4" s="1"/>
    </row>
    <row r="5" spans="1:6" ht="15.75" x14ac:dyDescent="0.25">
      <c r="A5" s="1"/>
      <c r="B5" s="1" t="s">
        <v>19</v>
      </c>
      <c r="C5" s="1"/>
      <c r="D5" s="1"/>
      <c r="E5" s="1"/>
      <c r="F5" s="1"/>
    </row>
    <row r="6" spans="1:6" ht="15.75" x14ac:dyDescent="0.25">
      <c r="A6" s="1"/>
      <c r="B6" s="1" t="s">
        <v>20</v>
      </c>
      <c r="C6" s="1"/>
      <c r="D6" s="1"/>
      <c r="E6" s="1"/>
      <c r="F6" s="1"/>
    </row>
    <row r="7" spans="1:6" s="3" customFormat="1" ht="15.75" x14ac:dyDescent="0.25">
      <c r="A7" s="5" t="s">
        <v>41</v>
      </c>
      <c r="B7" s="5"/>
      <c r="C7" s="5"/>
      <c r="D7" s="5"/>
      <c r="E7" s="5"/>
      <c r="F7" s="5"/>
    </row>
    <row r="8" spans="1:6" ht="15.75" x14ac:dyDescent="0.25">
      <c r="A8" s="1"/>
      <c r="B8" s="1" t="s">
        <v>21</v>
      </c>
      <c r="C8" s="1"/>
      <c r="D8" s="1"/>
      <c r="E8" s="1"/>
      <c r="F8" s="1"/>
    </row>
    <row r="9" spans="1:6" ht="15.75" x14ac:dyDescent="0.25">
      <c r="A9" s="1"/>
      <c r="B9" s="1" t="s">
        <v>22</v>
      </c>
      <c r="C9" s="1"/>
      <c r="D9" s="1"/>
      <c r="E9" s="1"/>
      <c r="F9" s="1"/>
    </row>
    <row r="10" spans="1:6" s="3" customFormat="1" ht="15.75" x14ac:dyDescent="0.25">
      <c r="A10" s="5" t="s">
        <v>42</v>
      </c>
      <c r="B10" s="5"/>
      <c r="C10" s="5"/>
      <c r="D10" s="5"/>
      <c r="E10" s="5"/>
      <c r="F10" s="5"/>
    </row>
    <row r="11" spans="1:6" ht="15.75" x14ac:dyDescent="0.25">
      <c r="A11" s="1"/>
      <c r="B11" s="1" t="s">
        <v>23</v>
      </c>
      <c r="C11" s="1"/>
      <c r="D11" s="1"/>
      <c r="E11" s="1"/>
      <c r="F11" s="1"/>
    </row>
    <row r="12" spans="1:6" ht="15.75" x14ac:dyDescent="0.25">
      <c r="A12" s="1"/>
      <c r="B12" s="1" t="s">
        <v>24</v>
      </c>
      <c r="C12" s="1"/>
      <c r="D12" s="1"/>
      <c r="E12" s="1"/>
      <c r="F12" s="1"/>
    </row>
    <row r="13" spans="1:6" ht="15.75" x14ac:dyDescent="0.25">
      <c r="A13" s="1"/>
      <c r="B13" s="1"/>
      <c r="C13" s="1" t="s">
        <v>25</v>
      </c>
      <c r="D13" s="1"/>
      <c r="E13" s="1"/>
      <c r="F13" s="1"/>
    </row>
    <row r="14" spans="1:6" ht="15.75" x14ac:dyDescent="0.25">
      <c r="A14" s="1"/>
      <c r="B14" s="1" t="s">
        <v>26</v>
      </c>
      <c r="C14" s="1"/>
      <c r="D14" s="1"/>
      <c r="E14" s="1"/>
      <c r="F14" s="1"/>
    </row>
    <row r="15" spans="1:6" ht="15.75" x14ac:dyDescent="0.25">
      <c r="A15" s="1"/>
      <c r="B15" s="1"/>
      <c r="C15" s="1" t="s">
        <v>27</v>
      </c>
      <c r="D15" s="1"/>
      <c r="E15" s="1"/>
      <c r="F15" s="1"/>
    </row>
    <row r="16" spans="1:6" ht="15.75" x14ac:dyDescent="0.25">
      <c r="A16" s="1"/>
      <c r="B16" s="1"/>
      <c r="C16" s="1" t="s">
        <v>28</v>
      </c>
      <c r="D16" s="1"/>
      <c r="E16" s="1"/>
      <c r="F16" s="1"/>
    </row>
    <row r="17" spans="1:6" ht="15.75" x14ac:dyDescent="0.25">
      <c r="A17" s="1"/>
      <c r="B17" s="1"/>
      <c r="C17" s="1" t="s">
        <v>29</v>
      </c>
      <c r="D17" s="1"/>
      <c r="E17" s="1"/>
      <c r="F17" s="1"/>
    </row>
    <row r="18" spans="1:6" ht="15.75" x14ac:dyDescent="0.25">
      <c r="A18" s="1"/>
      <c r="B18" s="1"/>
      <c r="C18" s="1" t="s">
        <v>30</v>
      </c>
      <c r="D18" s="1"/>
      <c r="E18" s="1"/>
      <c r="F18" s="1"/>
    </row>
    <row r="19" spans="1:6" ht="15.75" x14ac:dyDescent="0.25">
      <c r="A19" s="1"/>
      <c r="B19" s="1"/>
      <c r="C19" s="1"/>
      <c r="D19" s="1" t="s">
        <v>31</v>
      </c>
      <c r="E19" s="1"/>
      <c r="F19" s="1"/>
    </row>
    <row r="20" spans="1:6" ht="15.75" x14ac:dyDescent="0.25">
      <c r="A20" s="1"/>
      <c r="B20" s="1"/>
      <c r="C20" s="1"/>
      <c r="D20" s="1" t="s">
        <v>32</v>
      </c>
      <c r="E20" s="1"/>
      <c r="F20" s="1"/>
    </row>
    <row r="21" spans="1:6" ht="15.75" x14ac:dyDescent="0.25">
      <c r="A21" s="1"/>
      <c r="B21" s="1" t="s">
        <v>104</v>
      </c>
      <c r="C21" s="1"/>
      <c r="D21" s="1"/>
      <c r="E21" s="1"/>
      <c r="F21" s="1"/>
    </row>
    <row r="22" spans="1:6" ht="15.75" x14ac:dyDescent="0.25">
      <c r="A22" s="1"/>
      <c r="B22" s="1"/>
      <c r="C22" s="1" t="s">
        <v>139</v>
      </c>
      <c r="D22" s="1"/>
      <c r="E22" s="1"/>
      <c r="F22" s="1"/>
    </row>
    <row r="23" spans="1:6" ht="15.75" x14ac:dyDescent="0.25">
      <c r="A23" s="1"/>
      <c r="B23" s="1"/>
      <c r="C23" s="1" t="s">
        <v>33</v>
      </c>
      <c r="D23" s="1"/>
      <c r="E23" s="1"/>
      <c r="F23" s="1"/>
    </row>
    <row r="24" spans="1:6" s="3" customFormat="1" ht="15.75" x14ac:dyDescent="0.25">
      <c r="A24" s="5" t="s">
        <v>43</v>
      </c>
      <c r="B24" s="5"/>
      <c r="C24" s="5"/>
      <c r="D24" s="5"/>
      <c r="E24" s="5"/>
      <c r="F24" s="5"/>
    </row>
    <row r="25" spans="1:6" ht="15.75" x14ac:dyDescent="0.25">
      <c r="A25" s="1"/>
      <c r="B25" s="1" t="s">
        <v>34</v>
      </c>
      <c r="C25" s="1"/>
      <c r="D25" s="1"/>
      <c r="E25" s="1"/>
      <c r="F25" s="1"/>
    </row>
    <row r="26" spans="1:6" ht="15.75" x14ac:dyDescent="0.25">
      <c r="A26" s="1"/>
      <c r="B26" s="1" t="s">
        <v>35</v>
      </c>
      <c r="C26" s="1"/>
      <c r="D26" s="1"/>
      <c r="E26" s="1"/>
      <c r="F26" s="1"/>
    </row>
    <row r="27" spans="1:6" ht="15.75" x14ac:dyDescent="0.25">
      <c r="A27" s="1"/>
      <c r="B27" s="1" t="s">
        <v>36</v>
      </c>
      <c r="C27" s="1"/>
      <c r="D27" s="1"/>
      <c r="E27" s="1"/>
      <c r="F27" s="1"/>
    </row>
    <row r="28" spans="1:6" s="3" customFormat="1" ht="15.75" x14ac:dyDescent="0.25">
      <c r="A28" s="5" t="s">
        <v>44</v>
      </c>
      <c r="B28" s="5"/>
      <c r="C28" s="5"/>
      <c r="D28" s="5"/>
      <c r="E28" s="5"/>
      <c r="F28" s="5"/>
    </row>
    <row r="29" spans="1:6" ht="15.75" x14ac:dyDescent="0.25">
      <c r="A29" s="1"/>
      <c r="B29" s="1" t="s">
        <v>37</v>
      </c>
      <c r="C29" s="1"/>
      <c r="D29" s="1"/>
      <c r="E29" s="1"/>
      <c r="F29" s="1"/>
    </row>
    <row r="30" spans="1:6" ht="15.75" x14ac:dyDescent="0.25">
      <c r="A30" s="1"/>
      <c r="B30" s="1" t="s">
        <v>38</v>
      </c>
      <c r="C30" s="1"/>
      <c r="D30" s="1"/>
      <c r="E30" s="1"/>
      <c r="F30" s="1"/>
    </row>
    <row r="31" spans="1:6" ht="15.75" x14ac:dyDescent="0.25">
      <c r="A31" s="1"/>
      <c r="B31" s="1" t="s">
        <v>39</v>
      </c>
      <c r="C31" s="1"/>
      <c r="D31" s="1"/>
      <c r="E31" s="1"/>
      <c r="F31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7E84A-80CD-4458-81FE-D5B0D055A581}">
  <sheetPr codeName="Hoja2"/>
  <dimension ref="A1:B15"/>
  <sheetViews>
    <sheetView workbookViewId="0">
      <selection activeCell="B15" sqref="B15"/>
    </sheetView>
  </sheetViews>
  <sheetFormatPr baseColWidth="10" defaultRowHeight="15" x14ac:dyDescent="0.25"/>
  <sheetData>
    <row r="1" spans="1:2" x14ac:dyDescent="0.25">
      <c r="A1" s="3" t="s">
        <v>110</v>
      </c>
    </row>
    <row r="2" spans="1:2" x14ac:dyDescent="0.25">
      <c r="B2" t="s">
        <v>45</v>
      </c>
    </row>
    <row r="3" spans="1:2" x14ac:dyDescent="0.25">
      <c r="B3" t="s">
        <v>46</v>
      </c>
    </row>
    <row r="4" spans="1:2" x14ac:dyDescent="0.25">
      <c r="A4" s="3" t="s">
        <v>111</v>
      </c>
    </row>
    <row r="5" spans="1:2" x14ac:dyDescent="0.25">
      <c r="B5" t="s">
        <v>52</v>
      </c>
    </row>
    <row r="6" spans="1:2" x14ac:dyDescent="0.25">
      <c r="B6" t="s">
        <v>48</v>
      </c>
    </row>
    <row r="7" spans="1:2" x14ac:dyDescent="0.25">
      <c r="A7" s="3" t="s">
        <v>112</v>
      </c>
    </row>
    <row r="8" spans="1:2" x14ac:dyDescent="0.25">
      <c r="B8" t="s">
        <v>47</v>
      </c>
    </row>
    <row r="9" spans="1:2" x14ac:dyDescent="0.25">
      <c r="B9" t="s">
        <v>49</v>
      </c>
    </row>
    <row r="10" spans="1:2" x14ac:dyDescent="0.25">
      <c r="A10" s="3" t="s">
        <v>113</v>
      </c>
    </row>
    <row r="11" spans="1:2" x14ac:dyDescent="0.25">
      <c r="B11" t="s">
        <v>50</v>
      </c>
    </row>
    <row r="12" spans="1:2" x14ac:dyDescent="0.25">
      <c r="B12" t="s">
        <v>51</v>
      </c>
    </row>
    <row r="13" spans="1:2" x14ac:dyDescent="0.25">
      <c r="A13" s="3" t="s">
        <v>114</v>
      </c>
    </row>
    <row r="14" spans="1:2" x14ac:dyDescent="0.25">
      <c r="B14" t="s">
        <v>123</v>
      </c>
    </row>
    <row r="15" spans="1:2" x14ac:dyDescent="0.25">
      <c r="B15" t="s">
        <v>118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30622-6B40-404E-AA78-21A2F3DEFA9B}">
  <sheetPr codeName="Hoja3"/>
  <dimension ref="A1:B23"/>
  <sheetViews>
    <sheetView zoomScale="109" zoomScaleNormal="130" workbookViewId="0">
      <selection activeCell="B7" sqref="B7"/>
    </sheetView>
  </sheetViews>
  <sheetFormatPr baseColWidth="10" defaultRowHeight="15" x14ac:dyDescent="0.25"/>
  <sheetData>
    <row r="1" spans="1:2" x14ac:dyDescent="0.25">
      <c r="A1" t="s">
        <v>53</v>
      </c>
    </row>
    <row r="2" spans="1:2" x14ac:dyDescent="0.25">
      <c r="B2" t="s">
        <v>99</v>
      </c>
    </row>
    <row r="3" spans="1:2" x14ac:dyDescent="0.25">
      <c r="B3" t="s">
        <v>115</v>
      </c>
    </row>
    <row r="4" spans="1:2" x14ac:dyDescent="0.25">
      <c r="A4" t="s">
        <v>54</v>
      </c>
    </row>
    <row r="5" spans="1:2" x14ac:dyDescent="0.25">
      <c r="B5" t="s">
        <v>63</v>
      </c>
    </row>
    <row r="6" spans="1:2" x14ac:dyDescent="0.25">
      <c r="A6" t="s">
        <v>55</v>
      </c>
    </row>
    <row r="7" spans="1:2" x14ac:dyDescent="0.25">
      <c r="B7" t="s">
        <v>132</v>
      </c>
    </row>
    <row r="8" spans="1:2" x14ac:dyDescent="0.25">
      <c r="A8" t="s">
        <v>56</v>
      </c>
    </row>
    <row r="9" spans="1:2" x14ac:dyDescent="0.25">
      <c r="B9" t="s">
        <v>100</v>
      </c>
    </row>
    <row r="10" spans="1:2" x14ac:dyDescent="0.25">
      <c r="A10" t="s">
        <v>57</v>
      </c>
    </row>
    <row r="11" spans="1:2" x14ac:dyDescent="0.25">
      <c r="B11" t="s">
        <v>101</v>
      </c>
    </row>
    <row r="12" spans="1:2" x14ac:dyDescent="0.25">
      <c r="A12" t="s">
        <v>58</v>
      </c>
    </row>
    <row r="13" spans="1:2" x14ac:dyDescent="0.25">
      <c r="B13" t="s">
        <v>83</v>
      </c>
    </row>
    <row r="14" spans="1:2" x14ac:dyDescent="0.25">
      <c r="A14" t="s">
        <v>59</v>
      </c>
    </row>
    <row r="15" spans="1:2" x14ac:dyDescent="0.25">
      <c r="B15" t="s">
        <v>264</v>
      </c>
    </row>
    <row r="16" spans="1:2" x14ac:dyDescent="0.25">
      <c r="A16" t="s">
        <v>60</v>
      </c>
    </row>
    <row r="18" spans="1:2" x14ac:dyDescent="0.25">
      <c r="A18" t="s">
        <v>61</v>
      </c>
    </row>
    <row r="19" spans="1:2" x14ac:dyDescent="0.25">
      <c r="B19" t="s">
        <v>263</v>
      </c>
    </row>
    <row r="20" spans="1:2" x14ac:dyDescent="0.25">
      <c r="A20" t="s">
        <v>62</v>
      </c>
    </row>
    <row r="21" spans="1:2" x14ac:dyDescent="0.25">
      <c r="B21" t="s">
        <v>262</v>
      </c>
    </row>
    <row r="22" spans="1:2" x14ac:dyDescent="0.25">
      <c r="A22" t="s">
        <v>62</v>
      </c>
    </row>
    <row r="23" spans="1:2" x14ac:dyDescent="0.25">
      <c r="B23" t="s">
        <v>261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40F83-8740-410F-AF2B-D1E263588B78}">
  <sheetPr codeName="Hoja4"/>
  <dimension ref="A1:J62"/>
  <sheetViews>
    <sheetView tabSelected="1" zoomScale="115" zoomScaleNormal="115" workbookViewId="0">
      <selection activeCell="E44" sqref="E44"/>
    </sheetView>
  </sheetViews>
  <sheetFormatPr baseColWidth="10" defaultRowHeight="15" x14ac:dyDescent="0.25"/>
  <cols>
    <col min="6" max="6" width="16.5703125" bestFit="1" customWidth="1"/>
    <col min="7" max="7" width="15.5703125" bestFit="1" customWidth="1"/>
    <col min="8" max="8" width="22.7109375" customWidth="1"/>
  </cols>
  <sheetData>
    <row r="1" spans="1:10" s="4" customFormat="1" x14ac:dyDescent="0.25">
      <c r="B1" s="4" t="s">
        <v>265</v>
      </c>
      <c r="C1" s="4" t="s">
        <v>266</v>
      </c>
      <c r="D1" s="4" t="s">
        <v>268</v>
      </c>
      <c r="E1" s="4" t="s">
        <v>269</v>
      </c>
      <c r="F1" s="11" t="s">
        <v>267</v>
      </c>
      <c r="G1" s="12" t="s">
        <v>103</v>
      </c>
      <c r="H1" s="4" t="s">
        <v>237</v>
      </c>
      <c r="I1" s="4" t="s">
        <v>126</v>
      </c>
    </row>
    <row r="2" spans="1:10" ht="15.75" x14ac:dyDescent="0.25">
      <c r="A2">
        <v>1</v>
      </c>
      <c r="B2" s="31" t="s">
        <v>290</v>
      </c>
      <c r="C2" s="31" t="s">
        <v>291</v>
      </c>
      <c r="D2" s="32">
        <v>27530</v>
      </c>
      <c r="E2" s="31" t="s">
        <v>292</v>
      </c>
      <c r="F2" t="s">
        <v>15</v>
      </c>
      <c r="G2">
        <v>30</v>
      </c>
      <c r="H2" s="6" t="s">
        <v>119</v>
      </c>
      <c r="I2">
        <v>45</v>
      </c>
      <c r="J2" t="s">
        <v>200</v>
      </c>
    </row>
    <row r="3" spans="1:10" ht="15.75" x14ac:dyDescent="0.25">
      <c r="A3">
        <v>2</v>
      </c>
      <c r="B3" t="s">
        <v>173</v>
      </c>
      <c r="C3" s="31" t="s">
        <v>314</v>
      </c>
      <c r="D3" s="32">
        <v>25197</v>
      </c>
      <c r="E3" s="31" t="s">
        <v>315</v>
      </c>
      <c r="F3" t="s">
        <v>71</v>
      </c>
      <c r="G3">
        <v>60</v>
      </c>
      <c r="I3">
        <v>100</v>
      </c>
      <c r="J3" t="s">
        <v>189</v>
      </c>
    </row>
    <row r="4" spans="1:10" x14ac:dyDescent="0.25">
      <c r="A4">
        <v>3</v>
      </c>
      <c r="F4" t="s">
        <v>141</v>
      </c>
      <c r="G4">
        <v>60</v>
      </c>
      <c r="I4">
        <v>54</v>
      </c>
      <c r="J4" t="s">
        <v>192</v>
      </c>
    </row>
    <row r="5" spans="1:10" x14ac:dyDescent="0.25">
      <c r="A5">
        <v>4</v>
      </c>
      <c r="F5" t="s">
        <v>84</v>
      </c>
      <c r="G5">
        <v>30</v>
      </c>
      <c r="H5" s="22" t="s">
        <v>232</v>
      </c>
      <c r="I5">
        <v>48</v>
      </c>
      <c r="J5" t="s">
        <v>160</v>
      </c>
    </row>
    <row r="6" spans="1:10" ht="15.75" x14ac:dyDescent="0.25">
      <c r="A6">
        <v>5</v>
      </c>
      <c r="B6" t="s">
        <v>173</v>
      </c>
      <c r="C6" s="31" t="s">
        <v>297</v>
      </c>
      <c r="D6" s="31" t="s">
        <v>300</v>
      </c>
      <c r="E6" s="32">
        <v>30244</v>
      </c>
      <c r="F6" t="s">
        <v>66</v>
      </c>
      <c r="G6">
        <v>60</v>
      </c>
      <c r="I6">
        <v>48</v>
      </c>
      <c r="J6" t="s">
        <v>193</v>
      </c>
    </row>
    <row r="7" spans="1:10" x14ac:dyDescent="0.25">
      <c r="A7">
        <v>6</v>
      </c>
      <c r="F7" t="s">
        <v>85</v>
      </c>
      <c r="G7">
        <v>60</v>
      </c>
      <c r="I7">
        <v>120</v>
      </c>
      <c r="J7" t="s">
        <v>238</v>
      </c>
    </row>
    <row r="8" spans="1:10" ht="15.75" x14ac:dyDescent="0.25">
      <c r="A8">
        <v>7</v>
      </c>
      <c r="B8" s="31" t="s">
        <v>288</v>
      </c>
      <c r="C8" s="31" t="s">
        <v>287</v>
      </c>
      <c r="D8" s="32">
        <v>31104</v>
      </c>
      <c r="E8" s="31" t="s">
        <v>289</v>
      </c>
      <c r="F8" t="s">
        <v>75</v>
      </c>
      <c r="G8">
        <v>60</v>
      </c>
      <c r="I8">
        <v>60</v>
      </c>
      <c r="J8" t="s">
        <v>251</v>
      </c>
    </row>
    <row r="9" spans="1:10" x14ac:dyDescent="0.25">
      <c r="A9">
        <v>8</v>
      </c>
      <c r="F9" t="s">
        <v>87</v>
      </c>
      <c r="G9">
        <v>60</v>
      </c>
      <c r="H9" s="14"/>
      <c r="I9">
        <v>240</v>
      </c>
      <c r="J9" t="s">
        <v>255</v>
      </c>
    </row>
    <row r="10" spans="1:10" x14ac:dyDescent="0.25">
      <c r="A10">
        <v>9</v>
      </c>
      <c r="F10" t="s">
        <v>188</v>
      </c>
      <c r="G10">
        <v>60</v>
      </c>
      <c r="H10" s="14"/>
      <c r="I10">
        <v>52</v>
      </c>
      <c r="J10" t="s">
        <v>256</v>
      </c>
    </row>
    <row r="11" spans="1:10" x14ac:dyDescent="0.25">
      <c r="A11">
        <v>10</v>
      </c>
      <c r="F11" t="s">
        <v>69</v>
      </c>
      <c r="G11">
        <v>60</v>
      </c>
      <c r="I11">
        <v>40</v>
      </c>
      <c r="J11" t="s">
        <v>257</v>
      </c>
    </row>
    <row r="12" spans="1:10" ht="15.75" x14ac:dyDescent="0.25">
      <c r="A12">
        <v>11</v>
      </c>
      <c r="B12" s="31" t="s">
        <v>328</v>
      </c>
      <c r="C12" s="31" t="s">
        <v>327</v>
      </c>
      <c r="D12" s="32">
        <v>32507</v>
      </c>
      <c r="E12" s="31" t="s">
        <v>329</v>
      </c>
      <c r="F12" t="s">
        <v>70</v>
      </c>
      <c r="G12">
        <v>60</v>
      </c>
      <c r="H12" s="10"/>
      <c r="I12">
        <v>16.5</v>
      </c>
      <c r="J12" t="s">
        <v>258</v>
      </c>
    </row>
    <row r="13" spans="1:10" ht="15.75" x14ac:dyDescent="0.25">
      <c r="A13">
        <v>12</v>
      </c>
      <c r="B13" t="s">
        <v>285</v>
      </c>
      <c r="C13" s="31" t="s">
        <v>284</v>
      </c>
      <c r="D13" s="32">
        <v>28346</v>
      </c>
      <c r="E13" s="31" t="s">
        <v>286</v>
      </c>
      <c r="F13" t="s">
        <v>77</v>
      </c>
      <c r="G13">
        <v>60</v>
      </c>
      <c r="I13">
        <v>40.6</v>
      </c>
      <c r="J13" t="s">
        <v>259</v>
      </c>
    </row>
    <row r="14" spans="1:10" ht="15.75" x14ac:dyDescent="0.25">
      <c r="A14">
        <v>13</v>
      </c>
      <c r="B14" t="s">
        <v>224</v>
      </c>
      <c r="C14" s="31" t="s">
        <v>279</v>
      </c>
      <c r="D14" s="32">
        <v>31074</v>
      </c>
      <c r="E14" t="s">
        <v>281</v>
      </c>
      <c r="F14" t="s">
        <v>280</v>
      </c>
      <c r="G14">
        <v>30</v>
      </c>
      <c r="H14" s="22" t="s">
        <v>232</v>
      </c>
    </row>
    <row r="15" spans="1:10" ht="15.75" x14ac:dyDescent="0.25">
      <c r="A15">
        <v>14</v>
      </c>
      <c r="B15" t="s">
        <v>302</v>
      </c>
      <c r="C15" s="31" t="s">
        <v>301</v>
      </c>
      <c r="D15" s="32">
        <v>28825</v>
      </c>
      <c r="E15" s="31" t="s">
        <v>303</v>
      </c>
      <c r="F15" t="s">
        <v>0</v>
      </c>
      <c r="G15">
        <v>60</v>
      </c>
    </row>
    <row r="16" spans="1:10" x14ac:dyDescent="0.25">
      <c r="A16">
        <v>15</v>
      </c>
      <c r="F16" t="s">
        <v>6</v>
      </c>
      <c r="G16">
        <v>60</v>
      </c>
    </row>
    <row r="17" spans="1:8" x14ac:dyDescent="0.25">
      <c r="A17">
        <v>16</v>
      </c>
      <c r="F17" t="s">
        <v>1</v>
      </c>
      <c r="G17">
        <v>60</v>
      </c>
    </row>
    <row r="18" spans="1:8" x14ac:dyDescent="0.25">
      <c r="A18">
        <v>17</v>
      </c>
      <c r="F18" t="s">
        <v>65</v>
      </c>
      <c r="G18">
        <v>60</v>
      </c>
    </row>
    <row r="19" spans="1:8" ht="15.75" x14ac:dyDescent="0.25">
      <c r="A19">
        <v>18</v>
      </c>
      <c r="B19" t="s">
        <v>298</v>
      </c>
      <c r="C19" s="31" t="s">
        <v>330</v>
      </c>
      <c r="D19" s="31" t="s">
        <v>332</v>
      </c>
      <c r="E19" s="31" t="s">
        <v>331</v>
      </c>
      <c r="F19" t="s">
        <v>89</v>
      </c>
      <c r="G19">
        <v>60</v>
      </c>
    </row>
    <row r="20" spans="1:8" ht="15.75" x14ac:dyDescent="0.25">
      <c r="A20">
        <v>19</v>
      </c>
      <c r="B20" t="s">
        <v>298</v>
      </c>
      <c r="C20" s="31" t="s">
        <v>316</v>
      </c>
      <c r="D20" s="32">
        <v>26510</v>
      </c>
      <c r="E20" s="31" t="s">
        <v>317</v>
      </c>
      <c r="F20" t="s">
        <v>7</v>
      </c>
      <c r="G20">
        <v>60</v>
      </c>
    </row>
    <row r="21" spans="1:8" x14ac:dyDescent="0.25">
      <c r="A21">
        <v>20</v>
      </c>
      <c r="F21" t="s">
        <v>125</v>
      </c>
      <c r="G21">
        <v>60</v>
      </c>
    </row>
    <row r="22" spans="1:8" x14ac:dyDescent="0.25">
      <c r="A22">
        <v>21</v>
      </c>
      <c r="F22" t="s">
        <v>116</v>
      </c>
      <c r="G22">
        <v>60</v>
      </c>
    </row>
    <row r="23" spans="1:8" x14ac:dyDescent="0.25">
      <c r="A23">
        <v>22</v>
      </c>
      <c r="F23" t="s">
        <v>76</v>
      </c>
      <c r="G23">
        <v>60</v>
      </c>
      <c r="H23" s="10"/>
    </row>
    <row r="24" spans="1:8" x14ac:dyDescent="0.25">
      <c r="A24">
        <v>23</v>
      </c>
      <c r="F24" t="s">
        <v>8</v>
      </c>
      <c r="G24">
        <v>60</v>
      </c>
    </row>
    <row r="25" spans="1:8" x14ac:dyDescent="0.25">
      <c r="A25">
        <v>24</v>
      </c>
      <c r="F25" t="s">
        <v>138</v>
      </c>
      <c r="G25">
        <v>60</v>
      </c>
      <c r="H25" s="10"/>
    </row>
    <row r="26" spans="1:8" x14ac:dyDescent="0.25">
      <c r="A26">
        <v>25</v>
      </c>
      <c r="F26" t="s">
        <v>239</v>
      </c>
      <c r="H26" s="10" t="s">
        <v>240</v>
      </c>
    </row>
    <row r="27" spans="1:8" x14ac:dyDescent="0.25">
      <c r="A27">
        <v>26</v>
      </c>
      <c r="F27" t="s">
        <v>235</v>
      </c>
      <c r="H27" s="10" t="s">
        <v>236</v>
      </c>
    </row>
    <row r="28" spans="1:8" ht="15.75" x14ac:dyDescent="0.25">
      <c r="A28">
        <v>27</v>
      </c>
      <c r="B28" s="31" t="s">
        <v>325</v>
      </c>
      <c r="C28" s="31" t="s">
        <v>324</v>
      </c>
      <c r="D28" s="32">
        <v>29105</v>
      </c>
      <c r="E28" s="31" t="s">
        <v>326</v>
      </c>
      <c r="F28" t="s">
        <v>9</v>
      </c>
      <c r="G28">
        <v>60</v>
      </c>
    </row>
    <row r="29" spans="1:8" ht="15.75" x14ac:dyDescent="0.25">
      <c r="A29">
        <v>28</v>
      </c>
      <c r="B29" s="31" t="s">
        <v>310</v>
      </c>
      <c r="C29" s="31" t="s">
        <v>309</v>
      </c>
      <c r="D29" s="32">
        <v>30111</v>
      </c>
      <c r="E29" s="31" t="s">
        <v>311</v>
      </c>
      <c r="F29" t="s">
        <v>81</v>
      </c>
      <c r="G29">
        <v>60</v>
      </c>
    </row>
    <row r="30" spans="1:8" x14ac:dyDescent="0.25">
      <c r="A30">
        <v>29</v>
      </c>
      <c r="F30" t="s">
        <v>79</v>
      </c>
      <c r="G30">
        <v>60</v>
      </c>
    </row>
    <row r="31" spans="1:8" ht="15.75" x14ac:dyDescent="0.25">
      <c r="A31">
        <v>30</v>
      </c>
      <c r="B31" s="31" t="s">
        <v>10</v>
      </c>
      <c r="C31" s="31" t="s">
        <v>295</v>
      </c>
      <c r="D31" s="32">
        <v>31518</v>
      </c>
      <c r="E31" s="31" t="s">
        <v>296</v>
      </c>
      <c r="F31" t="s">
        <v>10</v>
      </c>
      <c r="G31">
        <v>60</v>
      </c>
    </row>
    <row r="32" spans="1:8" ht="15.75" x14ac:dyDescent="0.25">
      <c r="A32">
        <v>31</v>
      </c>
      <c r="B32" s="31" t="s">
        <v>299</v>
      </c>
      <c r="C32" s="31" t="s">
        <v>333</v>
      </c>
      <c r="D32" s="32">
        <v>29999</v>
      </c>
      <c r="E32" s="31" t="s">
        <v>334</v>
      </c>
      <c r="F32" t="s">
        <v>64</v>
      </c>
      <c r="G32">
        <v>60</v>
      </c>
    </row>
    <row r="33" spans="1:8" ht="15.75" x14ac:dyDescent="0.25">
      <c r="A33">
        <v>32</v>
      </c>
      <c r="B33" s="31" t="s">
        <v>322</v>
      </c>
      <c r="C33" s="31" t="s">
        <v>321</v>
      </c>
      <c r="D33" s="32">
        <v>31573</v>
      </c>
      <c r="E33" s="31" t="s">
        <v>323</v>
      </c>
      <c r="F33" t="s">
        <v>67</v>
      </c>
      <c r="G33">
        <v>60</v>
      </c>
    </row>
    <row r="34" spans="1:8" ht="15.75" x14ac:dyDescent="0.25">
      <c r="A34">
        <v>33</v>
      </c>
      <c r="B34" s="31" t="s">
        <v>305</v>
      </c>
      <c r="C34" s="31" t="s">
        <v>304</v>
      </c>
      <c r="D34" s="32">
        <v>25393</v>
      </c>
      <c r="E34" s="31" t="s">
        <v>306</v>
      </c>
      <c r="F34" t="s">
        <v>82</v>
      </c>
      <c r="G34">
        <v>60</v>
      </c>
    </row>
    <row r="35" spans="1:8" ht="15.75" x14ac:dyDescent="0.25">
      <c r="A35">
        <v>34</v>
      </c>
      <c r="B35" s="31" t="s">
        <v>12</v>
      </c>
      <c r="C35" s="31" t="s">
        <v>293</v>
      </c>
      <c r="D35" s="32">
        <v>31948</v>
      </c>
      <c r="E35" s="31" t="s">
        <v>294</v>
      </c>
      <c r="F35" t="s">
        <v>12</v>
      </c>
      <c r="G35">
        <v>60</v>
      </c>
    </row>
    <row r="36" spans="1:8" x14ac:dyDescent="0.25">
      <c r="A36">
        <v>35</v>
      </c>
      <c r="F36" t="s">
        <v>4</v>
      </c>
      <c r="G36">
        <v>50</v>
      </c>
      <c r="H36" s="14"/>
    </row>
    <row r="37" spans="1:8" x14ac:dyDescent="0.25">
      <c r="A37">
        <v>36</v>
      </c>
      <c r="F37" t="s">
        <v>78</v>
      </c>
      <c r="G37">
        <v>60</v>
      </c>
    </row>
    <row r="38" spans="1:8" ht="15.75" x14ac:dyDescent="0.25">
      <c r="A38">
        <v>37</v>
      </c>
      <c r="B38" s="33" t="s">
        <v>13</v>
      </c>
      <c r="C38" s="31" t="s">
        <v>312</v>
      </c>
      <c r="D38" s="32">
        <v>29859</v>
      </c>
      <c r="E38" s="31" t="s">
        <v>313</v>
      </c>
      <c r="F38" t="s">
        <v>13</v>
      </c>
      <c r="G38">
        <v>60</v>
      </c>
    </row>
    <row r="39" spans="1:8" x14ac:dyDescent="0.25">
      <c r="A39">
        <v>38</v>
      </c>
      <c r="B39" s="33"/>
      <c r="C39" s="33"/>
      <c r="D39" s="33"/>
      <c r="E39" s="33"/>
      <c r="F39" t="s">
        <v>201</v>
      </c>
      <c r="G39">
        <v>60</v>
      </c>
      <c r="H39" s="10"/>
    </row>
    <row r="40" spans="1:8" x14ac:dyDescent="0.25">
      <c r="A40">
        <v>39</v>
      </c>
      <c r="B40" s="33" t="s">
        <v>273</v>
      </c>
      <c r="C40" s="33" t="s">
        <v>274</v>
      </c>
      <c r="D40" s="34">
        <v>30248</v>
      </c>
      <c r="E40" s="33" t="s">
        <v>275</v>
      </c>
      <c r="F40" t="s">
        <v>88</v>
      </c>
      <c r="G40">
        <v>60</v>
      </c>
    </row>
    <row r="41" spans="1:8" ht="15.75" x14ac:dyDescent="0.25">
      <c r="A41">
        <v>40</v>
      </c>
      <c r="B41" s="31" t="s">
        <v>336</v>
      </c>
      <c r="C41" s="31" t="s">
        <v>335</v>
      </c>
      <c r="D41" s="32">
        <v>28979</v>
      </c>
      <c r="E41" s="31" t="s">
        <v>337</v>
      </c>
      <c r="F41" t="s">
        <v>93</v>
      </c>
      <c r="G41">
        <v>60</v>
      </c>
    </row>
    <row r="42" spans="1:8" x14ac:dyDescent="0.25">
      <c r="A42">
        <v>41</v>
      </c>
      <c r="B42" s="33"/>
      <c r="C42" s="33"/>
      <c r="D42" s="33"/>
      <c r="E42" s="33"/>
      <c r="F42" t="s">
        <v>91</v>
      </c>
      <c r="G42">
        <v>60</v>
      </c>
    </row>
    <row r="43" spans="1:8" x14ac:dyDescent="0.25">
      <c r="A43">
        <v>42</v>
      </c>
      <c r="B43" s="33"/>
      <c r="C43" s="33"/>
      <c r="D43" s="33"/>
      <c r="E43" s="33"/>
      <c r="F43" t="s">
        <v>5</v>
      </c>
      <c r="G43">
        <v>60</v>
      </c>
    </row>
    <row r="44" spans="1:8" x14ac:dyDescent="0.25">
      <c r="A44">
        <v>43</v>
      </c>
      <c r="B44" s="33"/>
      <c r="C44" s="33"/>
      <c r="D44" s="33"/>
      <c r="E44" s="33"/>
      <c r="F44" t="s">
        <v>73</v>
      </c>
      <c r="G44">
        <v>60</v>
      </c>
    </row>
    <row r="45" spans="1:8" x14ac:dyDescent="0.25">
      <c r="A45">
        <v>44</v>
      </c>
      <c r="B45" s="33"/>
      <c r="C45" s="33"/>
      <c r="D45" s="33"/>
      <c r="E45" s="33"/>
      <c r="F45" t="s">
        <v>74</v>
      </c>
      <c r="G45">
        <v>60</v>
      </c>
      <c r="H45" s="14"/>
    </row>
    <row r="46" spans="1:8" x14ac:dyDescent="0.25">
      <c r="A46">
        <v>45</v>
      </c>
      <c r="B46" s="33"/>
      <c r="C46" s="33"/>
      <c r="D46" s="33"/>
      <c r="E46" s="33"/>
      <c r="F46" t="s">
        <v>230</v>
      </c>
      <c r="G46">
        <v>0</v>
      </c>
      <c r="H46" s="22" t="s">
        <v>233</v>
      </c>
    </row>
    <row r="47" spans="1:8" x14ac:dyDescent="0.25">
      <c r="A47">
        <v>46</v>
      </c>
      <c r="B47" s="33" t="s">
        <v>270</v>
      </c>
      <c r="C47" s="33" t="s">
        <v>271</v>
      </c>
      <c r="D47" s="34">
        <v>29978</v>
      </c>
      <c r="E47" s="33" t="s">
        <v>272</v>
      </c>
      <c r="F47" t="s">
        <v>68</v>
      </c>
      <c r="G47">
        <v>60</v>
      </c>
    </row>
    <row r="48" spans="1:8" x14ac:dyDescent="0.25">
      <c r="A48">
        <v>47</v>
      </c>
      <c r="B48" s="33" t="s">
        <v>277</v>
      </c>
      <c r="C48" s="33" t="s">
        <v>276</v>
      </c>
      <c r="D48" s="35">
        <v>29402</v>
      </c>
      <c r="E48" s="36" t="s">
        <v>278</v>
      </c>
      <c r="F48" t="s">
        <v>72</v>
      </c>
      <c r="G48">
        <v>60</v>
      </c>
      <c r="H48" s="10"/>
    </row>
    <row r="49" spans="1:9" x14ac:dyDescent="0.25">
      <c r="A49">
        <v>48</v>
      </c>
      <c r="F49" t="s">
        <v>94</v>
      </c>
      <c r="G49">
        <v>60</v>
      </c>
    </row>
    <row r="50" spans="1:9" x14ac:dyDescent="0.25">
      <c r="A50">
        <v>49</v>
      </c>
      <c r="F50" t="s">
        <v>199</v>
      </c>
      <c r="G50">
        <v>70</v>
      </c>
      <c r="H50" t="s">
        <v>243</v>
      </c>
    </row>
    <row r="51" spans="1:9" x14ac:dyDescent="0.25">
      <c r="A51">
        <v>50</v>
      </c>
      <c r="F51" t="s">
        <v>14</v>
      </c>
      <c r="G51">
        <v>60</v>
      </c>
      <c r="H51" s="10"/>
    </row>
    <row r="52" spans="1:9" ht="15.75" x14ac:dyDescent="0.25">
      <c r="A52">
        <v>51</v>
      </c>
      <c r="B52" t="s">
        <v>2</v>
      </c>
      <c r="C52" s="31" t="s">
        <v>307</v>
      </c>
      <c r="D52" s="32">
        <v>30170</v>
      </c>
      <c r="E52" s="31" t="s">
        <v>308</v>
      </c>
      <c r="F52" t="s">
        <v>2</v>
      </c>
      <c r="G52">
        <v>60</v>
      </c>
    </row>
    <row r="53" spans="1:9" x14ac:dyDescent="0.25">
      <c r="A53">
        <v>52</v>
      </c>
      <c r="F53" t="s">
        <v>142</v>
      </c>
      <c r="G53">
        <v>60</v>
      </c>
      <c r="H53" s="10"/>
    </row>
    <row r="54" spans="1:9" ht="15.75" x14ac:dyDescent="0.25">
      <c r="A54">
        <v>53</v>
      </c>
      <c r="B54" t="s">
        <v>319</v>
      </c>
      <c r="C54" s="31" t="s">
        <v>318</v>
      </c>
      <c r="D54" s="32">
        <v>32899</v>
      </c>
      <c r="E54" s="31" t="s">
        <v>320</v>
      </c>
      <c r="F54" t="s">
        <v>96</v>
      </c>
      <c r="G54">
        <v>60</v>
      </c>
    </row>
    <row r="55" spans="1:9" x14ac:dyDescent="0.25">
      <c r="A55">
        <v>54</v>
      </c>
      <c r="F55" t="s">
        <v>97</v>
      </c>
      <c r="G55">
        <v>0</v>
      </c>
      <c r="H55" t="s">
        <v>122</v>
      </c>
    </row>
    <row r="56" spans="1:9" x14ac:dyDescent="0.25">
      <c r="A56">
        <v>55</v>
      </c>
      <c r="F56" t="s">
        <v>117</v>
      </c>
      <c r="G56">
        <v>60</v>
      </c>
    </row>
    <row r="57" spans="1:9" x14ac:dyDescent="0.25">
      <c r="A57">
        <v>56</v>
      </c>
      <c r="F57" t="s">
        <v>80</v>
      </c>
      <c r="G57">
        <v>60</v>
      </c>
      <c r="H57" s="2"/>
    </row>
    <row r="58" spans="1:9" x14ac:dyDescent="0.25">
      <c r="A58">
        <v>57</v>
      </c>
      <c r="F58" t="s">
        <v>3</v>
      </c>
      <c r="G58">
        <v>60</v>
      </c>
      <c r="H58" s="10"/>
    </row>
    <row r="59" spans="1:9" ht="15.75" x14ac:dyDescent="0.25">
      <c r="A59">
        <v>58</v>
      </c>
      <c r="B59" t="s">
        <v>160</v>
      </c>
      <c r="C59" s="31" t="s">
        <v>282</v>
      </c>
      <c r="D59" s="32">
        <v>24177</v>
      </c>
      <c r="E59" s="31" t="s">
        <v>283</v>
      </c>
      <c r="F59" t="s">
        <v>98</v>
      </c>
      <c r="G59">
        <v>60</v>
      </c>
    </row>
    <row r="61" spans="1:9" x14ac:dyDescent="0.25">
      <c r="F61" s="13" t="s">
        <v>249</v>
      </c>
      <c r="G61" s="27">
        <f>SUM(G2:G60)</f>
        <v>3150</v>
      </c>
      <c r="I61" s="28">
        <f>SUM(I2:I60)</f>
        <v>864.1</v>
      </c>
    </row>
    <row r="62" spans="1:9" ht="18.75" x14ac:dyDescent="0.3">
      <c r="F62" s="30" t="s">
        <v>106</v>
      </c>
      <c r="G62" s="29">
        <f>G61-I61</f>
        <v>2285.9</v>
      </c>
    </row>
  </sheetData>
  <autoFilter ref="F1:J1" xr:uid="{F7740F83-8740-410F-AF2B-D1E263588B78}">
    <sortState xmlns:xlrd2="http://schemas.microsoft.com/office/spreadsheetml/2017/richdata2" ref="F2:J55">
      <sortCondition ref="F1"/>
    </sortState>
  </autoFilter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DC700-4F4C-4819-BA27-227D2189C28A}">
  <sheetPr codeName="Hoja8"/>
  <dimension ref="A1:F63"/>
  <sheetViews>
    <sheetView zoomScale="115" zoomScaleNormal="115" workbookViewId="0">
      <pane ySplit="1" topLeftCell="A23" activePane="bottomLeft" state="frozen"/>
      <selection pane="bottomLeft" activeCell="B14" sqref="B14"/>
    </sheetView>
  </sheetViews>
  <sheetFormatPr baseColWidth="10" defaultRowHeight="15" x14ac:dyDescent="0.25"/>
  <cols>
    <col min="1" max="1" width="16.5703125" bestFit="1" customWidth="1"/>
    <col min="2" max="2" width="15.5703125" bestFit="1" customWidth="1"/>
    <col min="3" max="3" width="15.5703125" customWidth="1"/>
    <col min="4" max="4" width="15.7109375" style="22" customWidth="1"/>
    <col min="5" max="5" width="16.140625" customWidth="1"/>
  </cols>
  <sheetData>
    <row r="1" spans="1:6" s="4" customFormat="1" ht="30" x14ac:dyDescent="0.25">
      <c r="A1" s="17" t="s">
        <v>102</v>
      </c>
      <c r="B1" s="18" t="s">
        <v>150</v>
      </c>
      <c r="C1" s="20" t="s">
        <v>152</v>
      </c>
      <c r="D1" s="21" t="s">
        <v>151</v>
      </c>
      <c r="E1" s="19" t="s">
        <v>153</v>
      </c>
      <c r="F1" s="19"/>
    </row>
    <row r="2" spans="1:6" x14ac:dyDescent="0.25">
      <c r="A2" t="s">
        <v>15</v>
      </c>
      <c r="B2">
        <v>6</v>
      </c>
      <c r="C2" t="s">
        <v>167</v>
      </c>
      <c r="D2" s="22">
        <v>6</v>
      </c>
      <c r="E2" t="s">
        <v>167</v>
      </c>
    </row>
    <row r="3" spans="1:6" x14ac:dyDescent="0.25">
      <c r="A3" t="s">
        <v>71</v>
      </c>
      <c r="B3">
        <v>25</v>
      </c>
      <c r="C3" t="s">
        <v>154</v>
      </c>
      <c r="D3">
        <v>25</v>
      </c>
      <c r="E3" t="s">
        <v>211</v>
      </c>
    </row>
    <row r="4" spans="1:6" x14ac:dyDescent="0.25">
      <c r="A4" t="s">
        <v>141</v>
      </c>
      <c r="D4" s="22">
        <v>20</v>
      </c>
      <c r="E4" t="s">
        <v>210</v>
      </c>
    </row>
    <row r="5" spans="1:6" x14ac:dyDescent="0.25">
      <c r="A5" t="s">
        <v>84</v>
      </c>
      <c r="B5">
        <v>3</v>
      </c>
      <c r="C5" t="s">
        <v>173</v>
      </c>
      <c r="D5">
        <v>3</v>
      </c>
      <c r="E5" t="s">
        <v>173</v>
      </c>
    </row>
    <row r="6" spans="1:6" x14ac:dyDescent="0.25">
      <c r="A6" t="s">
        <v>66</v>
      </c>
      <c r="B6">
        <v>8</v>
      </c>
      <c r="C6" t="s">
        <v>161</v>
      </c>
      <c r="D6" s="22">
        <v>8</v>
      </c>
      <c r="E6" t="s">
        <v>206</v>
      </c>
    </row>
    <row r="7" spans="1:6" x14ac:dyDescent="0.25">
      <c r="A7" t="s">
        <v>85</v>
      </c>
      <c r="B7">
        <v>34</v>
      </c>
      <c r="C7" t="s">
        <v>174</v>
      </c>
      <c r="D7" s="22">
        <v>22</v>
      </c>
      <c r="E7" t="s">
        <v>174</v>
      </c>
    </row>
    <row r="8" spans="1:6" x14ac:dyDescent="0.25">
      <c r="A8" t="s">
        <v>75</v>
      </c>
      <c r="B8">
        <v>21</v>
      </c>
      <c r="C8" t="s">
        <v>75</v>
      </c>
      <c r="D8">
        <v>21</v>
      </c>
      <c r="E8" t="s">
        <v>75</v>
      </c>
    </row>
    <row r="9" spans="1:6" x14ac:dyDescent="0.25">
      <c r="A9" t="s">
        <v>86</v>
      </c>
    </row>
    <row r="10" spans="1:6" x14ac:dyDescent="0.25">
      <c r="A10" t="s">
        <v>87</v>
      </c>
      <c r="B10">
        <v>5</v>
      </c>
      <c r="C10" t="s">
        <v>162</v>
      </c>
      <c r="D10" s="22">
        <v>5</v>
      </c>
      <c r="E10" t="s">
        <v>162</v>
      </c>
    </row>
    <row r="11" spans="1:6" x14ac:dyDescent="0.25">
      <c r="A11" t="s">
        <v>188</v>
      </c>
      <c r="D11" s="22">
        <v>12</v>
      </c>
      <c r="E11" t="s">
        <v>208</v>
      </c>
    </row>
    <row r="12" spans="1:6" x14ac:dyDescent="0.25">
      <c r="A12" t="s">
        <v>69</v>
      </c>
      <c r="B12">
        <v>11</v>
      </c>
      <c r="C12" t="s">
        <v>69</v>
      </c>
      <c r="D12">
        <v>11</v>
      </c>
      <c r="E12" t="s">
        <v>207</v>
      </c>
    </row>
    <row r="13" spans="1:6" x14ac:dyDescent="0.25">
      <c r="A13" t="s">
        <v>70</v>
      </c>
      <c r="B13">
        <v>69</v>
      </c>
      <c r="C13" t="s">
        <v>168</v>
      </c>
      <c r="D13" s="22">
        <v>17</v>
      </c>
      <c r="E13" t="s">
        <v>168</v>
      </c>
    </row>
    <row r="14" spans="1:6" x14ac:dyDescent="0.25">
      <c r="A14" t="s">
        <v>77</v>
      </c>
      <c r="B14">
        <v>77</v>
      </c>
      <c r="C14" t="s">
        <v>77</v>
      </c>
      <c r="D14">
        <v>77</v>
      </c>
      <c r="E14" t="s">
        <v>77</v>
      </c>
    </row>
    <row r="15" spans="1:6" x14ac:dyDescent="0.25">
      <c r="A15" t="s">
        <v>224</v>
      </c>
      <c r="D15" s="22">
        <v>85</v>
      </c>
      <c r="E15" t="s">
        <v>224</v>
      </c>
      <c r="F15" t="s">
        <v>242</v>
      </c>
    </row>
    <row r="16" spans="1:6" x14ac:dyDescent="0.25">
      <c r="A16" t="s">
        <v>0</v>
      </c>
      <c r="B16">
        <v>15</v>
      </c>
      <c r="C16" t="s">
        <v>0</v>
      </c>
      <c r="D16">
        <v>15</v>
      </c>
      <c r="E16" t="s">
        <v>0</v>
      </c>
    </row>
    <row r="17" spans="1:5" x14ac:dyDescent="0.25">
      <c r="A17" t="s">
        <v>6</v>
      </c>
      <c r="D17" s="22">
        <v>90</v>
      </c>
      <c r="E17" t="s">
        <v>217</v>
      </c>
    </row>
    <row r="18" spans="1:5" x14ac:dyDescent="0.25">
      <c r="A18" t="s">
        <v>1</v>
      </c>
      <c r="B18" s="26" t="s">
        <v>135</v>
      </c>
      <c r="C18" t="s">
        <v>1</v>
      </c>
      <c r="D18" s="22">
        <v>32</v>
      </c>
      <c r="E18" t="s">
        <v>1</v>
      </c>
    </row>
    <row r="19" spans="1:5" x14ac:dyDescent="0.25">
      <c r="A19" t="s">
        <v>65</v>
      </c>
      <c r="B19">
        <v>37</v>
      </c>
      <c r="C19" t="s">
        <v>159</v>
      </c>
      <c r="D19">
        <v>37</v>
      </c>
      <c r="E19" t="s">
        <v>159</v>
      </c>
    </row>
    <row r="20" spans="1:5" x14ac:dyDescent="0.25">
      <c r="A20" t="s">
        <v>89</v>
      </c>
      <c r="B20">
        <v>16</v>
      </c>
      <c r="C20" t="s">
        <v>175</v>
      </c>
      <c r="D20">
        <v>16</v>
      </c>
      <c r="E20" t="s">
        <v>175</v>
      </c>
    </row>
    <row r="21" spans="1:5" x14ac:dyDescent="0.25">
      <c r="A21" t="s">
        <v>7</v>
      </c>
      <c r="B21">
        <v>10</v>
      </c>
      <c r="C21" t="s">
        <v>163</v>
      </c>
      <c r="D21">
        <v>10</v>
      </c>
      <c r="E21" t="s">
        <v>163</v>
      </c>
    </row>
    <row r="22" spans="1:5" x14ac:dyDescent="0.25">
      <c r="A22" t="s">
        <v>128</v>
      </c>
      <c r="B22">
        <v>10</v>
      </c>
      <c r="C22" t="s">
        <v>180</v>
      </c>
    </row>
    <row r="23" spans="1:5" x14ac:dyDescent="0.25">
      <c r="A23" t="s">
        <v>125</v>
      </c>
      <c r="B23">
        <v>86</v>
      </c>
      <c r="C23" t="s">
        <v>168</v>
      </c>
      <c r="D23">
        <v>86</v>
      </c>
      <c r="E23" t="s">
        <v>168</v>
      </c>
    </row>
    <row r="24" spans="1:5" x14ac:dyDescent="0.25">
      <c r="A24" t="s">
        <v>116</v>
      </c>
      <c r="B24">
        <v>31</v>
      </c>
      <c r="C24" t="s">
        <v>157</v>
      </c>
      <c r="D24">
        <v>31</v>
      </c>
      <c r="E24" t="s">
        <v>157</v>
      </c>
    </row>
    <row r="25" spans="1:5" x14ac:dyDescent="0.25">
      <c r="A25" t="s">
        <v>76</v>
      </c>
      <c r="B25">
        <v>30</v>
      </c>
      <c r="C25" t="s">
        <v>76</v>
      </c>
      <c r="D25">
        <v>30</v>
      </c>
      <c r="E25" t="s">
        <v>76</v>
      </c>
    </row>
    <row r="26" spans="1:5" x14ac:dyDescent="0.25">
      <c r="A26" t="s">
        <v>8</v>
      </c>
      <c r="B26">
        <v>40</v>
      </c>
      <c r="C26" t="s">
        <v>8</v>
      </c>
      <c r="D26">
        <v>40</v>
      </c>
      <c r="E26" t="s">
        <v>8</v>
      </c>
    </row>
    <row r="27" spans="1:5" x14ac:dyDescent="0.25">
      <c r="A27" t="s">
        <v>138</v>
      </c>
      <c r="D27" s="22">
        <v>19</v>
      </c>
      <c r="E27" t="s">
        <v>205</v>
      </c>
    </row>
    <row r="28" spans="1:5" x14ac:dyDescent="0.25">
      <c r="A28" t="s">
        <v>9</v>
      </c>
      <c r="B28">
        <v>66</v>
      </c>
      <c r="C28" t="s">
        <v>9</v>
      </c>
      <c r="D28">
        <v>66</v>
      </c>
      <c r="E28" t="s">
        <v>9</v>
      </c>
    </row>
    <row r="29" spans="1:5" x14ac:dyDescent="0.25">
      <c r="A29" t="s">
        <v>11</v>
      </c>
    </row>
    <row r="30" spans="1:5" x14ac:dyDescent="0.25">
      <c r="A30" t="s">
        <v>81</v>
      </c>
      <c r="B30">
        <v>26</v>
      </c>
      <c r="C30" t="s">
        <v>166</v>
      </c>
      <c r="D30">
        <v>26</v>
      </c>
      <c r="E30" t="s">
        <v>81</v>
      </c>
    </row>
    <row r="31" spans="1:5" x14ac:dyDescent="0.25">
      <c r="A31" t="s">
        <v>79</v>
      </c>
      <c r="B31">
        <v>31</v>
      </c>
      <c r="C31" t="s">
        <v>155</v>
      </c>
      <c r="D31" s="22">
        <v>2</v>
      </c>
      <c r="E31" t="s">
        <v>204</v>
      </c>
    </row>
    <row r="32" spans="1:5" x14ac:dyDescent="0.25">
      <c r="A32" t="s">
        <v>10</v>
      </c>
      <c r="B32">
        <v>18</v>
      </c>
      <c r="C32" t="s">
        <v>171</v>
      </c>
      <c r="D32">
        <v>18</v>
      </c>
      <c r="E32" t="s">
        <v>171</v>
      </c>
    </row>
    <row r="33" spans="1:6" x14ac:dyDescent="0.25">
      <c r="A33" t="s">
        <v>64</v>
      </c>
      <c r="B33">
        <v>14</v>
      </c>
      <c r="C33" t="s">
        <v>165</v>
      </c>
      <c r="D33">
        <v>14</v>
      </c>
      <c r="E33" t="s">
        <v>165</v>
      </c>
    </row>
    <row r="34" spans="1:6" x14ac:dyDescent="0.25">
      <c r="A34" t="s">
        <v>67</v>
      </c>
      <c r="B34">
        <v>27</v>
      </c>
      <c r="C34" t="s">
        <v>156</v>
      </c>
      <c r="D34">
        <v>27</v>
      </c>
      <c r="E34" t="s">
        <v>156</v>
      </c>
    </row>
    <row r="35" spans="1:6" x14ac:dyDescent="0.25">
      <c r="A35" t="s">
        <v>82</v>
      </c>
      <c r="B35">
        <v>37</v>
      </c>
      <c r="C35" t="s">
        <v>177</v>
      </c>
      <c r="D35">
        <v>35</v>
      </c>
      <c r="E35" t="s">
        <v>177</v>
      </c>
    </row>
    <row r="36" spans="1:6" x14ac:dyDescent="0.25">
      <c r="A36" t="s">
        <v>12</v>
      </c>
      <c r="B36">
        <v>87</v>
      </c>
      <c r="C36" t="s">
        <v>12</v>
      </c>
      <c r="D36">
        <v>87</v>
      </c>
      <c r="E36" t="s">
        <v>12</v>
      </c>
    </row>
    <row r="37" spans="1:6" x14ac:dyDescent="0.25">
      <c r="A37" t="s">
        <v>4</v>
      </c>
      <c r="B37">
        <v>24</v>
      </c>
      <c r="C37" t="s">
        <v>170</v>
      </c>
      <c r="D37">
        <v>24</v>
      </c>
      <c r="E37" t="s">
        <v>170</v>
      </c>
    </row>
    <row r="38" spans="1:6" x14ac:dyDescent="0.25">
      <c r="A38" t="s">
        <v>78</v>
      </c>
      <c r="B38">
        <v>73</v>
      </c>
      <c r="C38" t="s">
        <v>184</v>
      </c>
      <c r="D38">
        <v>73</v>
      </c>
      <c r="E38" t="s">
        <v>184</v>
      </c>
    </row>
    <row r="39" spans="1:6" x14ac:dyDescent="0.25">
      <c r="A39" t="s">
        <v>90</v>
      </c>
    </row>
    <row r="40" spans="1:6" x14ac:dyDescent="0.25">
      <c r="A40" t="s">
        <v>13</v>
      </c>
      <c r="D40" s="22">
        <v>72</v>
      </c>
      <c r="E40" t="s">
        <v>13</v>
      </c>
    </row>
    <row r="41" spans="1:6" x14ac:dyDescent="0.25">
      <c r="A41" t="s">
        <v>201</v>
      </c>
      <c r="B41">
        <v>72</v>
      </c>
      <c r="C41" t="s">
        <v>201</v>
      </c>
      <c r="D41" s="22">
        <v>72</v>
      </c>
      <c r="E41" t="s">
        <v>201</v>
      </c>
      <c r="F41" t="s">
        <v>247</v>
      </c>
    </row>
    <row r="42" spans="1:6" x14ac:dyDescent="0.25">
      <c r="A42" t="s">
        <v>88</v>
      </c>
      <c r="B42">
        <v>91</v>
      </c>
      <c r="C42" t="s">
        <v>164</v>
      </c>
      <c r="D42" s="22">
        <v>82</v>
      </c>
      <c r="E42" t="s">
        <v>164</v>
      </c>
    </row>
    <row r="43" spans="1:6" x14ac:dyDescent="0.25">
      <c r="A43" t="s">
        <v>92</v>
      </c>
    </row>
    <row r="44" spans="1:6" x14ac:dyDescent="0.25">
      <c r="A44" t="s">
        <v>93</v>
      </c>
      <c r="B44">
        <v>50</v>
      </c>
      <c r="C44" t="s">
        <v>158</v>
      </c>
      <c r="D44" s="22">
        <v>50</v>
      </c>
      <c r="E44" t="s">
        <v>218</v>
      </c>
    </row>
    <row r="45" spans="1:6" x14ac:dyDescent="0.25">
      <c r="A45" t="s">
        <v>91</v>
      </c>
      <c r="B45">
        <v>75</v>
      </c>
      <c r="C45" t="s">
        <v>181</v>
      </c>
      <c r="D45" s="22">
        <v>70</v>
      </c>
      <c r="E45" t="s">
        <v>181</v>
      </c>
    </row>
    <row r="46" spans="1:6" x14ac:dyDescent="0.25">
      <c r="A46" t="s">
        <v>5</v>
      </c>
      <c r="B46">
        <v>45</v>
      </c>
      <c r="C46" t="s">
        <v>5</v>
      </c>
      <c r="D46">
        <v>45</v>
      </c>
      <c r="E46" t="s">
        <v>5</v>
      </c>
    </row>
    <row r="47" spans="1:6" x14ac:dyDescent="0.25">
      <c r="A47" t="s">
        <v>73</v>
      </c>
      <c r="B47">
        <v>7</v>
      </c>
      <c r="C47" t="s">
        <v>73</v>
      </c>
      <c r="D47" s="22">
        <v>7</v>
      </c>
      <c r="E47" t="s">
        <v>73</v>
      </c>
    </row>
    <row r="48" spans="1:6" x14ac:dyDescent="0.25">
      <c r="A48" t="s">
        <v>74</v>
      </c>
      <c r="B48">
        <v>76</v>
      </c>
      <c r="C48" t="s">
        <v>74</v>
      </c>
      <c r="D48" s="22">
        <v>34</v>
      </c>
      <c r="E48" t="s">
        <v>214</v>
      </c>
    </row>
    <row r="49" spans="1:6" x14ac:dyDescent="0.25">
      <c r="A49" t="s">
        <v>68</v>
      </c>
      <c r="B49">
        <v>17</v>
      </c>
      <c r="C49" t="s">
        <v>68</v>
      </c>
      <c r="D49" s="22">
        <v>1</v>
      </c>
      <c r="E49" t="s">
        <v>68</v>
      </c>
    </row>
    <row r="50" spans="1:6" x14ac:dyDescent="0.25">
      <c r="A50" t="s">
        <v>72</v>
      </c>
      <c r="B50">
        <v>80</v>
      </c>
      <c r="C50" t="s">
        <v>72</v>
      </c>
      <c r="D50">
        <v>80</v>
      </c>
      <c r="E50" t="s">
        <v>72</v>
      </c>
    </row>
    <row r="51" spans="1:6" x14ac:dyDescent="0.25">
      <c r="A51" t="s">
        <v>94</v>
      </c>
      <c r="D51" s="22">
        <v>23</v>
      </c>
      <c r="E51" t="s">
        <v>94</v>
      </c>
    </row>
    <row r="52" spans="1:6" x14ac:dyDescent="0.25">
      <c r="A52" t="s">
        <v>199</v>
      </c>
      <c r="B52">
        <v>81</v>
      </c>
      <c r="C52" t="s">
        <v>244</v>
      </c>
      <c r="D52" s="22">
        <v>81</v>
      </c>
      <c r="E52" t="s">
        <v>244</v>
      </c>
      <c r="F52" s="25" t="s">
        <v>245</v>
      </c>
    </row>
    <row r="53" spans="1:6" x14ac:dyDescent="0.25">
      <c r="A53" t="s">
        <v>14</v>
      </c>
      <c r="B53">
        <v>88</v>
      </c>
      <c r="C53" t="s">
        <v>169</v>
      </c>
      <c r="D53">
        <v>88</v>
      </c>
      <c r="E53" t="s">
        <v>216</v>
      </c>
    </row>
    <row r="54" spans="1:6" x14ac:dyDescent="0.25">
      <c r="A54" t="s">
        <v>2</v>
      </c>
      <c r="B54" s="26">
        <v>28</v>
      </c>
      <c r="C54" t="s">
        <v>212</v>
      </c>
      <c r="D54" s="22">
        <v>28</v>
      </c>
      <c r="E54" t="s">
        <v>212</v>
      </c>
    </row>
    <row r="55" spans="1:6" x14ac:dyDescent="0.25">
      <c r="A55" t="s">
        <v>142</v>
      </c>
      <c r="B55">
        <v>67</v>
      </c>
      <c r="C55" t="s">
        <v>176</v>
      </c>
      <c r="D55">
        <v>67</v>
      </c>
      <c r="E55" t="s">
        <v>176</v>
      </c>
    </row>
    <row r="56" spans="1:6" x14ac:dyDescent="0.25">
      <c r="A56" t="s">
        <v>96</v>
      </c>
      <c r="B56">
        <v>4</v>
      </c>
      <c r="C56" t="s">
        <v>172</v>
      </c>
      <c r="D56" s="22">
        <v>4</v>
      </c>
      <c r="E56" t="s">
        <v>172</v>
      </c>
    </row>
    <row r="57" spans="1:6" x14ac:dyDescent="0.25">
      <c r="A57" t="s">
        <v>97</v>
      </c>
      <c r="B57">
        <v>5</v>
      </c>
      <c r="C57" t="s">
        <v>135</v>
      </c>
      <c r="D57" s="22">
        <v>75</v>
      </c>
      <c r="E57" t="s">
        <v>215</v>
      </c>
    </row>
    <row r="58" spans="1:6" x14ac:dyDescent="0.25">
      <c r="A58" t="s">
        <v>117</v>
      </c>
      <c r="D58" s="22">
        <v>29</v>
      </c>
      <c r="E58" t="s">
        <v>213</v>
      </c>
    </row>
    <row r="59" spans="1:6" x14ac:dyDescent="0.25">
      <c r="A59" t="s">
        <v>80</v>
      </c>
      <c r="D59" s="22">
        <v>76</v>
      </c>
      <c r="E59" t="s">
        <v>209</v>
      </c>
    </row>
    <row r="60" spans="1:6" x14ac:dyDescent="0.25">
      <c r="A60" t="s">
        <v>3</v>
      </c>
      <c r="B60">
        <v>9</v>
      </c>
      <c r="C60" t="s">
        <v>3</v>
      </c>
      <c r="D60" s="22">
        <v>9</v>
      </c>
      <c r="E60" t="s">
        <v>3</v>
      </c>
    </row>
    <row r="61" spans="1:6" x14ac:dyDescent="0.25">
      <c r="A61" t="s">
        <v>98</v>
      </c>
      <c r="B61">
        <v>66</v>
      </c>
      <c r="C61" t="s">
        <v>160</v>
      </c>
      <c r="D61" s="22">
        <v>13</v>
      </c>
      <c r="E61" t="s">
        <v>160</v>
      </c>
    </row>
    <row r="62" spans="1:6" x14ac:dyDescent="0.25">
      <c r="B62">
        <v>2</v>
      </c>
      <c r="C62" t="s">
        <v>178</v>
      </c>
    </row>
    <row r="63" spans="1:6" x14ac:dyDescent="0.25">
      <c r="B63">
        <v>10</v>
      </c>
      <c r="C63" t="s">
        <v>179</v>
      </c>
    </row>
  </sheetData>
  <autoFilter ref="A1:F1" xr:uid="{F7740F83-8740-410F-AF2B-D1E263588B78}">
    <sortState xmlns:xlrd2="http://schemas.microsoft.com/office/spreadsheetml/2017/richdata2" ref="A2:F59">
      <sortCondition ref="A1"/>
    </sortState>
  </autoFilter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1CF89-B483-4B91-9E7E-3DA07724ADF6}">
  <sheetPr codeName="Hoja7"/>
  <dimension ref="A1:E61"/>
  <sheetViews>
    <sheetView topLeftCell="A9" zoomScale="115" zoomScaleNormal="115" workbookViewId="0">
      <selection activeCell="E16" sqref="E16"/>
    </sheetView>
  </sheetViews>
  <sheetFormatPr baseColWidth="10" defaultRowHeight="15" x14ac:dyDescent="0.25"/>
  <cols>
    <col min="1" max="1" width="18.85546875" bestFit="1" customWidth="1"/>
    <col min="2" max="2" width="18.140625" customWidth="1"/>
    <col min="3" max="3" width="14.7109375" customWidth="1"/>
    <col min="4" max="4" width="18" customWidth="1"/>
  </cols>
  <sheetData>
    <row r="1" spans="1:5" s="4" customFormat="1" ht="30" x14ac:dyDescent="0.25">
      <c r="A1" s="17" t="s">
        <v>102</v>
      </c>
      <c r="B1" s="18" t="s">
        <v>147</v>
      </c>
      <c r="C1" s="18" t="s">
        <v>148</v>
      </c>
      <c r="D1" s="19" t="s">
        <v>149</v>
      </c>
      <c r="E1" s="19"/>
    </row>
    <row r="2" spans="1:5" x14ac:dyDescent="0.25">
      <c r="A2" t="s">
        <v>15</v>
      </c>
    </row>
    <row r="3" spans="1:5" x14ac:dyDescent="0.25">
      <c r="A3" t="s">
        <v>71</v>
      </c>
      <c r="D3">
        <v>48</v>
      </c>
    </row>
    <row r="4" spans="1:5" x14ac:dyDescent="0.25">
      <c r="A4" t="s">
        <v>141</v>
      </c>
      <c r="D4">
        <v>48</v>
      </c>
    </row>
    <row r="5" spans="1:5" x14ac:dyDescent="0.25">
      <c r="A5" t="s">
        <v>84</v>
      </c>
      <c r="C5" s="10"/>
    </row>
    <row r="6" spans="1:5" x14ac:dyDescent="0.25">
      <c r="A6" t="s">
        <v>66</v>
      </c>
      <c r="D6">
        <v>48</v>
      </c>
    </row>
    <row r="7" spans="1:5" x14ac:dyDescent="0.25">
      <c r="A7" t="s">
        <v>85</v>
      </c>
    </row>
    <row r="8" spans="1:5" x14ac:dyDescent="0.25">
      <c r="A8" t="s">
        <v>75</v>
      </c>
      <c r="D8">
        <v>48</v>
      </c>
    </row>
    <row r="9" spans="1:5" x14ac:dyDescent="0.25">
      <c r="A9" t="s">
        <v>87</v>
      </c>
      <c r="C9" s="14"/>
      <c r="D9">
        <v>48</v>
      </c>
    </row>
    <row r="10" spans="1:5" x14ac:dyDescent="0.25">
      <c r="A10" t="s">
        <v>69</v>
      </c>
      <c r="D10">
        <v>48</v>
      </c>
    </row>
    <row r="11" spans="1:5" x14ac:dyDescent="0.25">
      <c r="A11" t="s">
        <v>70</v>
      </c>
      <c r="C11" s="10"/>
    </row>
    <row r="12" spans="1:5" x14ac:dyDescent="0.25">
      <c r="A12" t="s">
        <v>77</v>
      </c>
    </row>
    <row r="13" spans="1:5" x14ac:dyDescent="0.25">
      <c r="A13" t="s">
        <v>0</v>
      </c>
      <c r="D13">
        <v>48</v>
      </c>
    </row>
    <row r="14" spans="1:5" x14ac:dyDescent="0.25">
      <c r="A14" t="s">
        <v>6</v>
      </c>
    </row>
    <row r="15" spans="1:5" x14ac:dyDescent="0.25">
      <c r="A15" t="s">
        <v>1</v>
      </c>
      <c r="D15">
        <v>0</v>
      </c>
    </row>
    <row r="16" spans="1:5" x14ac:dyDescent="0.25">
      <c r="A16" t="s">
        <v>65</v>
      </c>
      <c r="D16">
        <v>48</v>
      </c>
      <c r="E16" s="10" t="s">
        <v>190</v>
      </c>
    </row>
    <row r="17" spans="1:4" x14ac:dyDescent="0.25">
      <c r="A17" t="s">
        <v>89</v>
      </c>
      <c r="C17">
        <v>44</v>
      </c>
    </row>
    <row r="18" spans="1:4" x14ac:dyDescent="0.25">
      <c r="A18" t="s">
        <v>7</v>
      </c>
    </row>
    <row r="19" spans="1:4" x14ac:dyDescent="0.25">
      <c r="A19" t="s">
        <v>128</v>
      </c>
      <c r="C19" s="10"/>
    </row>
    <row r="20" spans="1:4" x14ac:dyDescent="0.25">
      <c r="A20" t="s">
        <v>125</v>
      </c>
      <c r="D20">
        <v>48</v>
      </c>
    </row>
    <row r="21" spans="1:4" x14ac:dyDescent="0.25">
      <c r="A21" t="s">
        <v>116</v>
      </c>
    </row>
    <row r="22" spans="1:4" x14ac:dyDescent="0.25">
      <c r="A22" t="s">
        <v>76</v>
      </c>
      <c r="C22" s="10"/>
      <c r="D22">
        <v>48</v>
      </c>
    </row>
    <row r="23" spans="1:4" x14ac:dyDescent="0.25">
      <c r="A23" t="s">
        <v>8</v>
      </c>
    </row>
    <row r="24" spans="1:4" x14ac:dyDescent="0.25">
      <c r="A24" t="s">
        <v>138</v>
      </c>
    </row>
    <row r="25" spans="1:4" x14ac:dyDescent="0.25">
      <c r="A25" t="s">
        <v>9</v>
      </c>
    </row>
    <row r="26" spans="1:4" x14ac:dyDescent="0.25">
      <c r="A26" t="s">
        <v>11</v>
      </c>
      <c r="C26" s="10"/>
    </row>
    <row r="27" spans="1:4" x14ac:dyDescent="0.25">
      <c r="A27" t="s">
        <v>81</v>
      </c>
      <c r="D27">
        <v>48</v>
      </c>
    </row>
    <row r="28" spans="1:4" x14ac:dyDescent="0.25">
      <c r="A28" t="s">
        <v>79</v>
      </c>
    </row>
    <row r="29" spans="1:4" x14ac:dyDescent="0.25">
      <c r="A29" t="s">
        <v>10</v>
      </c>
    </row>
    <row r="30" spans="1:4" x14ac:dyDescent="0.25">
      <c r="A30" t="s">
        <v>64</v>
      </c>
      <c r="D30" t="s">
        <v>185</v>
      </c>
    </row>
    <row r="31" spans="1:4" x14ac:dyDescent="0.25">
      <c r="A31" t="s">
        <v>67</v>
      </c>
    </row>
    <row r="32" spans="1:4" x14ac:dyDescent="0.25">
      <c r="A32" t="s">
        <v>82</v>
      </c>
    </row>
    <row r="33" spans="1:5" x14ac:dyDescent="0.25">
      <c r="A33" t="s">
        <v>12</v>
      </c>
      <c r="D33">
        <v>48</v>
      </c>
    </row>
    <row r="34" spans="1:5" x14ac:dyDescent="0.25">
      <c r="A34" t="s">
        <v>4</v>
      </c>
      <c r="C34" s="10"/>
      <c r="D34">
        <v>47</v>
      </c>
      <c r="E34" s="10" t="s">
        <v>186</v>
      </c>
    </row>
    <row r="35" spans="1:5" x14ac:dyDescent="0.25">
      <c r="A35" t="s">
        <v>78</v>
      </c>
    </row>
    <row r="36" spans="1:5" x14ac:dyDescent="0.25">
      <c r="A36" t="s">
        <v>90</v>
      </c>
      <c r="C36" s="10"/>
    </row>
    <row r="37" spans="1:5" x14ac:dyDescent="0.25">
      <c r="A37" t="s">
        <v>13</v>
      </c>
    </row>
    <row r="38" spans="1:5" x14ac:dyDescent="0.25">
      <c r="A38" t="s">
        <v>88</v>
      </c>
      <c r="D38">
        <v>0</v>
      </c>
    </row>
    <row r="39" spans="1:5" x14ac:dyDescent="0.25">
      <c r="A39" t="s">
        <v>92</v>
      </c>
      <c r="C39" s="10"/>
    </row>
    <row r="40" spans="1:5" x14ac:dyDescent="0.25">
      <c r="A40" t="s">
        <v>93</v>
      </c>
    </row>
    <row r="41" spans="1:5" x14ac:dyDescent="0.25">
      <c r="A41" t="s">
        <v>91</v>
      </c>
    </row>
    <row r="42" spans="1:5" x14ac:dyDescent="0.25">
      <c r="A42" t="s">
        <v>5</v>
      </c>
      <c r="D42">
        <v>48</v>
      </c>
    </row>
    <row r="43" spans="1:5" x14ac:dyDescent="0.25">
      <c r="A43" t="s">
        <v>73</v>
      </c>
      <c r="D43">
        <v>48</v>
      </c>
    </row>
    <row r="44" spans="1:5" x14ac:dyDescent="0.25">
      <c r="A44" t="s">
        <v>74</v>
      </c>
      <c r="C44" s="14"/>
    </row>
    <row r="45" spans="1:5" x14ac:dyDescent="0.25">
      <c r="A45" t="s">
        <v>68</v>
      </c>
      <c r="D45">
        <v>48</v>
      </c>
    </row>
    <row r="46" spans="1:5" x14ac:dyDescent="0.25">
      <c r="A46" t="s">
        <v>72</v>
      </c>
      <c r="C46" s="10"/>
    </row>
    <row r="47" spans="1:5" x14ac:dyDescent="0.25">
      <c r="A47" t="s">
        <v>94</v>
      </c>
      <c r="D47">
        <v>48</v>
      </c>
    </row>
    <row r="48" spans="1:5" x14ac:dyDescent="0.25">
      <c r="A48" t="s">
        <v>14</v>
      </c>
      <c r="C48" s="10"/>
    </row>
    <row r="49" spans="1:5" x14ac:dyDescent="0.25">
      <c r="A49" t="s">
        <v>2</v>
      </c>
      <c r="D49">
        <v>48</v>
      </c>
    </row>
    <row r="50" spans="1:5" x14ac:dyDescent="0.25">
      <c r="A50" t="s">
        <v>142</v>
      </c>
      <c r="C50" s="10"/>
    </row>
    <row r="51" spans="1:5" x14ac:dyDescent="0.25">
      <c r="A51" t="s">
        <v>96</v>
      </c>
    </row>
    <row r="52" spans="1:5" x14ac:dyDescent="0.25">
      <c r="A52" t="s">
        <v>97</v>
      </c>
    </row>
    <row r="53" spans="1:5" x14ac:dyDescent="0.25">
      <c r="A53" t="s">
        <v>117</v>
      </c>
    </row>
    <row r="54" spans="1:5" x14ac:dyDescent="0.25">
      <c r="A54" t="s">
        <v>80</v>
      </c>
      <c r="C54" s="2"/>
    </row>
    <row r="55" spans="1:5" x14ac:dyDescent="0.25">
      <c r="A55" t="s">
        <v>3</v>
      </c>
      <c r="C55" s="10"/>
    </row>
    <row r="56" spans="1:5" x14ac:dyDescent="0.25">
      <c r="A56" t="s">
        <v>98</v>
      </c>
      <c r="D56">
        <v>48</v>
      </c>
      <c r="E56" s="10" t="s">
        <v>190</v>
      </c>
    </row>
    <row r="57" spans="1:5" x14ac:dyDescent="0.25">
      <c r="A57" t="s">
        <v>182</v>
      </c>
      <c r="C57">
        <v>45</v>
      </c>
    </row>
    <row r="58" spans="1:5" x14ac:dyDescent="0.25">
      <c r="A58" s="13" t="s">
        <v>143</v>
      </c>
      <c r="B58" s="3">
        <f>SUM(B2:B57)</f>
        <v>0</v>
      </c>
      <c r="C58" s="3">
        <f>SUM(C2:C57)</f>
        <v>89</v>
      </c>
      <c r="D58" s="3">
        <f>SUM(D2:D57)</f>
        <v>911</v>
      </c>
    </row>
    <row r="59" spans="1:5" ht="18.75" x14ac:dyDescent="0.3">
      <c r="A59" s="13" t="s">
        <v>145</v>
      </c>
      <c r="B59" s="15">
        <f>SUM(B58+C58+D58)</f>
        <v>1000</v>
      </c>
      <c r="C59" s="15"/>
      <c r="D59" s="15"/>
    </row>
    <row r="60" spans="1:5" ht="30" x14ac:dyDescent="0.25">
      <c r="A60" s="16" t="s">
        <v>144</v>
      </c>
    </row>
    <row r="61" spans="1:5" x14ac:dyDescent="0.25">
      <c r="A61" s="13" t="s">
        <v>146</v>
      </c>
    </row>
  </sheetData>
  <autoFilter ref="A1:E1" xr:uid="{F7740F83-8740-410F-AF2B-D1E263588B78}">
    <sortState xmlns:xlrd2="http://schemas.microsoft.com/office/spreadsheetml/2017/richdata2" ref="A2:E59">
      <sortCondition ref="A1"/>
    </sortState>
  </autoFilter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897D-B6CF-46F0-8FF2-A680BE9BC9CD}">
  <sheetPr codeName="Hoja5"/>
  <dimension ref="A1:AP64"/>
  <sheetViews>
    <sheetView workbookViewId="0">
      <pane xSplit="1" topLeftCell="B1" activePane="topRight" state="frozen"/>
      <selection pane="topRight" activeCell="J1" sqref="J1:N1"/>
    </sheetView>
  </sheetViews>
  <sheetFormatPr baseColWidth="10" defaultRowHeight="15" x14ac:dyDescent="0.25"/>
  <cols>
    <col min="1" max="1" width="23" customWidth="1"/>
    <col min="21" max="21" width="11.42578125" style="24"/>
  </cols>
  <sheetData>
    <row r="1" spans="1:42" s="4" customFormat="1" x14ac:dyDescent="0.25">
      <c r="A1" s="4" t="s">
        <v>102</v>
      </c>
      <c r="B1" s="9" t="s">
        <v>120</v>
      </c>
      <c r="C1" s="9" t="s">
        <v>105</v>
      </c>
      <c r="D1" s="9" t="s">
        <v>121</v>
      </c>
      <c r="E1" s="9" t="s">
        <v>127</v>
      </c>
      <c r="F1" s="9" t="s">
        <v>129</v>
      </c>
      <c r="G1" s="9" t="s">
        <v>130</v>
      </c>
      <c r="H1" s="9" t="s">
        <v>131</v>
      </c>
      <c r="I1" s="9" t="s">
        <v>134</v>
      </c>
      <c r="J1" s="9" t="s">
        <v>133</v>
      </c>
      <c r="K1" s="9" t="s">
        <v>136</v>
      </c>
      <c r="L1" s="9" t="s">
        <v>137</v>
      </c>
      <c r="M1" s="9" t="s">
        <v>140</v>
      </c>
      <c r="N1" s="9" t="s">
        <v>183</v>
      </c>
      <c r="O1" s="9" t="s">
        <v>187</v>
      </c>
      <c r="P1" s="9" t="s">
        <v>191</v>
      </c>
      <c r="Q1" s="9" t="s">
        <v>194</v>
      </c>
      <c r="R1" s="9" t="s">
        <v>196</v>
      </c>
      <c r="S1" s="9" t="s">
        <v>197</v>
      </c>
      <c r="T1" s="9" t="s">
        <v>198</v>
      </c>
      <c r="U1" s="23" t="s">
        <v>202</v>
      </c>
      <c r="V1" s="9" t="s">
        <v>203</v>
      </c>
      <c r="W1" s="9" t="s">
        <v>219</v>
      </c>
      <c r="X1" s="9" t="s">
        <v>220</v>
      </c>
      <c r="Y1" s="9" t="s">
        <v>221</v>
      </c>
      <c r="Z1" s="9" t="s">
        <v>222</v>
      </c>
      <c r="AA1" s="9" t="s">
        <v>223</v>
      </c>
      <c r="AB1" s="9" t="s">
        <v>225</v>
      </c>
      <c r="AC1" s="9" t="s">
        <v>226</v>
      </c>
      <c r="AD1" s="9" t="s">
        <v>227</v>
      </c>
      <c r="AE1" s="9" t="s">
        <v>228</v>
      </c>
      <c r="AF1" s="9" t="s">
        <v>229</v>
      </c>
      <c r="AG1" s="9" t="s">
        <v>231</v>
      </c>
      <c r="AH1" s="9" t="s">
        <v>234</v>
      </c>
      <c r="AI1" s="9" t="s">
        <v>241</v>
      </c>
      <c r="AJ1" s="9" t="s">
        <v>246</v>
      </c>
      <c r="AK1" s="9" t="s">
        <v>248</v>
      </c>
      <c r="AL1" s="9" t="s">
        <v>250</v>
      </c>
      <c r="AM1" s="9" t="s">
        <v>252</v>
      </c>
      <c r="AN1" s="9" t="s">
        <v>253</v>
      </c>
      <c r="AO1" s="9" t="s">
        <v>254</v>
      </c>
      <c r="AP1" s="9" t="s">
        <v>260</v>
      </c>
    </row>
    <row r="2" spans="1:42" x14ac:dyDescent="0.25">
      <c r="A2" t="s">
        <v>15</v>
      </c>
      <c r="B2">
        <v>1</v>
      </c>
      <c r="C2">
        <v>1</v>
      </c>
      <c r="F2">
        <v>1</v>
      </c>
      <c r="K2">
        <v>1</v>
      </c>
      <c r="N2">
        <v>1</v>
      </c>
      <c r="O2">
        <v>1</v>
      </c>
      <c r="R2">
        <v>1</v>
      </c>
      <c r="T2">
        <v>1</v>
      </c>
      <c r="X2">
        <v>1</v>
      </c>
      <c r="Z2">
        <v>1</v>
      </c>
      <c r="AD2">
        <v>1</v>
      </c>
      <c r="AM2">
        <v>1</v>
      </c>
      <c r="AO2">
        <v>1</v>
      </c>
    </row>
    <row r="3" spans="1:42" x14ac:dyDescent="0.25">
      <c r="A3" t="s">
        <v>71</v>
      </c>
      <c r="B3">
        <v>1</v>
      </c>
      <c r="E3">
        <v>1</v>
      </c>
      <c r="F3">
        <v>0</v>
      </c>
      <c r="I3">
        <v>1</v>
      </c>
      <c r="M3">
        <v>1</v>
      </c>
      <c r="P3">
        <v>1</v>
      </c>
      <c r="S3">
        <v>1</v>
      </c>
      <c r="T3">
        <v>1</v>
      </c>
      <c r="Y3">
        <v>0</v>
      </c>
      <c r="Z3">
        <v>1</v>
      </c>
      <c r="AH3">
        <v>1</v>
      </c>
      <c r="AJ3">
        <v>0</v>
      </c>
      <c r="AK3">
        <v>1</v>
      </c>
      <c r="AL3">
        <v>0</v>
      </c>
      <c r="AM3">
        <v>1</v>
      </c>
    </row>
    <row r="4" spans="1:42" x14ac:dyDescent="0.25">
      <c r="A4" t="s">
        <v>141</v>
      </c>
      <c r="B4">
        <v>1</v>
      </c>
      <c r="C4">
        <v>1</v>
      </c>
      <c r="D4">
        <v>0</v>
      </c>
      <c r="F4">
        <v>0</v>
      </c>
      <c r="H4">
        <v>-1</v>
      </c>
      <c r="S4">
        <v>0</v>
      </c>
      <c r="T4">
        <v>1</v>
      </c>
      <c r="W4">
        <v>0</v>
      </c>
      <c r="Z4">
        <v>0</v>
      </c>
      <c r="AC4">
        <v>0</v>
      </c>
      <c r="AG4">
        <v>0</v>
      </c>
      <c r="AJ4">
        <v>0</v>
      </c>
      <c r="AM4">
        <v>0</v>
      </c>
    </row>
    <row r="5" spans="1:42" x14ac:dyDescent="0.25">
      <c r="A5" t="s">
        <v>84</v>
      </c>
      <c r="X5">
        <v>1</v>
      </c>
      <c r="Y5">
        <v>1</v>
      </c>
      <c r="Z5">
        <v>1</v>
      </c>
      <c r="AC5">
        <v>1</v>
      </c>
      <c r="AE5">
        <v>1</v>
      </c>
      <c r="AG5">
        <v>1</v>
      </c>
      <c r="AK5">
        <v>0</v>
      </c>
      <c r="AM5">
        <v>1</v>
      </c>
      <c r="AP5">
        <v>1</v>
      </c>
    </row>
    <row r="6" spans="1:42" x14ac:dyDescent="0.25">
      <c r="A6" t="s">
        <v>66</v>
      </c>
      <c r="B6">
        <v>1</v>
      </c>
      <c r="C6">
        <v>1</v>
      </c>
      <c r="D6">
        <v>1</v>
      </c>
      <c r="F6">
        <v>1</v>
      </c>
      <c r="G6">
        <v>1</v>
      </c>
      <c r="H6">
        <v>1</v>
      </c>
      <c r="I6">
        <v>0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S6">
        <v>1</v>
      </c>
      <c r="T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>
        <v>1</v>
      </c>
      <c r="AD6">
        <v>1</v>
      </c>
      <c r="AE6">
        <v>1</v>
      </c>
      <c r="AJ6">
        <v>1</v>
      </c>
      <c r="AL6">
        <v>1</v>
      </c>
      <c r="AM6">
        <v>1</v>
      </c>
      <c r="AN6">
        <v>1</v>
      </c>
      <c r="AP6">
        <v>1</v>
      </c>
    </row>
    <row r="7" spans="1:42" x14ac:dyDescent="0.25">
      <c r="A7" t="s">
        <v>85</v>
      </c>
      <c r="T7">
        <v>1</v>
      </c>
    </row>
    <row r="8" spans="1:42" x14ac:dyDescent="0.25">
      <c r="A8" t="s">
        <v>75</v>
      </c>
      <c r="B8">
        <v>1</v>
      </c>
      <c r="D8">
        <v>1</v>
      </c>
      <c r="F8">
        <v>1</v>
      </c>
      <c r="H8">
        <v>1</v>
      </c>
      <c r="I8">
        <v>1</v>
      </c>
      <c r="M8">
        <v>1</v>
      </c>
      <c r="N8">
        <v>1</v>
      </c>
      <c r="O8">
        <v>1</v>
      </c>
      <c r="P8">
        <v>1</v>
      </c>
      <c r="Q8">
        <v>1</v>
      </c>
      <c r="S8">
        <v>1</v>
      </c>
      <c r="T8">
        <v>1</v>
      </c>
      <c r="V8">
        <v>1</v>
      </c>
      <c r="W8">
        <v>1</v>
      </c>
      <c r="X8">
        <v>1</v>
      </c>
      <c r="Y8">
        <v>1</v>
      </c>
      <c r="Z8">
        <v>0</v>
      </c>
      <c r="AA8">
        <v>1</v>
      </c>
      <c r="AB8">
        <v>1</v>
      </c>
      <c r="AD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P8">
        <v>1</v>
      </c>
    </row>
    <row r="9" spans="1:42" x14ac:dyDescent="0.25">
      <c r="A9" t="s">
        <v>87</v>
      </c>
      <c r="D9">
        <v>1</v>
      </c>
      <c r="E9">
        <v>1</v>
      </c>
      <c r="F9">
        <v>0</v>
      </c>
      <c r="N9">
        <v>1</v>
      </c>
      <c r="P9">
        <v>1</v>
      </c>
      <c r="T9">
        <v>1</v>
      </c>
    </row>
    <row r="10" spans="1:42" x14ac:dyDescent="0.25">
      <c r="A10" t="s">
        <v>69</v>
      </c>
      <c r="B10">
        <v>1</v>
      </c>
      <c r="C10">
        <v>1</v>
      </c>
      <c r="F10">
        <v>1</v>
      </c>
      <c r="K10">
        <v>1</v>
      </c>
      <c r="M10">
        <v>1</v>
      </c>
      <c r="N10">
        <v>0</v>
      </c>
      <c r="O10">
        <v>0</v>
      </c>
      <c r="P10">
        <v>1</v>
      </c>
      <c r="R10">
        <v>1</v>
      </c>
      <c r="S10">
        <v>0</v>
      </c>
      <c r="T10">
        <v>1</v>
      </c>
      <c r="Z10">
        <v>1</v>
      </c>
      <c r="AM10">
        <v>1</v>
      </c>
    </row>
    <row r="11" spans="1:42" x14ac:dyDescent="0.25">
      <c r="A11" t="s">
        <v>70</v>
      </c>
      <c r="B11">
        <v>1</v>
      </c>
      <c r="D11">
        <v>1</v>
      </c>
      <c r="E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-1</v>
      </c>
      <c r="O11">
        <v>1</v>
      </c>
      <c r="Q11">
        <v>1</v>
      </c>
      <c r="R11">
        <v>1</v>
      </c>
      <c r="T11">
        <v>1</v>
      </c>
      <c r="W11">
        <v>1</v>
      </c>
      <c r="X11">
        <v>1</v>
      </c>
      <c r="AB11">
        <v>1</v>
      </c>
      <c r="AC11">
        <v>1</v>
      </c>
      <c r="AE11">
        <v>1</v>
      </c>
      <c r="AL11">
        <v>1</v>
      </c>
      <c r="AM11">
        <v>1</v>
      </c>
      <c r="AN11">
        <v>1</v>
      </c>
      <c r="AO11">
        <v>1</v>
      </c>
    </row>
    <row r="12" spans="1:42" x14ac:dyDescent="0.25">
      <c r="A12" t="s">
        <v>77</v>
      </c>
      <c r="B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T12">
        <v>1</v>
      </c>
      <c r="U12" s="24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</row>
    <row r="13" spans="1:42" x14ac:dyDescent="0.25">
      <c r="A13" t="s">
        <v>224</v>
      </c>
      <c r="AA13">
        <v>1</v>
      </c>
      <c r="AB13">
        <v>1</v>
      </c>
      <c r="AC13">
        <v>1</v>
      </c>
      <c r="AD13">
        <v>1</v>
      </c>
      <c r="AF13">
        <v>1</v>
      </c>
      <c r="AG13">
        <v>1</v>
      </c>
      <c r="AH13">
        <v>1</v>
      </c>
      <c r="AI13">
        <v>1</v>
      </c>
      <c r="AJ13">
        <v>0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</row>
    <row r="14" spans="1:42" x14ac:dyDescent="0.25">
      <c r="A14" t="s">
        <v>0</v>
      </c>
      <c r="B14">
        <v>1</v>
      </c>
      <c r="C14">
        <v>1</v>
      </c>
      <c r="D14">
        <v>1</v>
      </c>
      <c r="E14">
        <v>1</v>
      </c>
      <c r="I14">
        <v>1</v>
      </c>
      <c r="L14">
        <v>1</v>
      </c>
      <c r="M14">
        <v>1</v>
      </c>
      <c r="N14">
        <v>1</v>
      </c>
      <c r="O14">
        <v>0</v>
      </c>
      <c r="P14">
        <v>1</v>
      </c>
      <c r="R14">
        <v>1</v>
      </c>
      <c r="S14">
        <v>1</v>
      </c>
      <c r="T14">
        <v>1</v>
      </c>
      <c r="V14">
        <v>1</v>
      </c>
      <c r="X14">
        <v>1</v>
      </c>
      <c r="Z14">
        <v>1</v>
      </c>
      <c r="AE14">
        <v>1</v>
      </c>
      <c r="AF14">
        <v>1</v>
      </c>
      <c r="AP14">
        <v>1</v>
      </c>
    </row>
    <row r="15" spans="1:42" x14ac:dyDescent="0.25">
      <c r="A15" t="s">
        <v>6</v>
      </c>
      <c r="B15">
        <v>0</v>
      </c>
      <c r="D15">
        <v>1</v>
      </c>
      <c r="E15">
        <v>1</v>
      </c>
      <c r="F15">
        <v>0</v>
      </c>
      <c r="J15">
        <v>0</v>
      </c>
      <c r="K15">
        <v>1</v>
      </c>
      <c r="N15">
        <v>1</v>
      </c>
      <c r="T15">
        <v>1</v>
      </c>
      <c r="AA15">
        <v>0</v>
      </c>
      <c r="AD15">
        <v>0</v>
      </c>
      <c r="AM15">
        <v>0</v>
      </c>
    </row>
    <row r="16" spans="1:42" x14ac:dyDescent="0.25">
      <c r="A16" t="s">
        <v>1</v>
      </c>
      <c r="S16">
        <v>1</v>
      </c>
      <c r="T16">
        <v>1</v>
      </c>
      <c r="AE16">
        <v>0</v>
      </c>
    </row>
    <row r="17" spans="1:42" x14ac:dyDescent="0.25">
      <c r="A17" t="s">
        <v>65</v>
      </c>
      <c r="B17">
        <v>1</v>
      </c>
      <c r="D17">
        <v>1</v>
      </c>
      <c r="E17">
        <v>1</v>
      </c>
      <c r="N17">
        <v>1</v>
      </c>
      <c r="T17">
        <v>1</v>
      </c>
      <c r="U17" s="24">
        <v>1</v>
      </c>
      <c r="Y17">
        <v>1</v>
      </c>
      <c r="AG17">
        <v>0</v>
      </c>
    </row>
    <row r="18" spans="1:42" x14ac:dyDescent="0.25">
      <c r="A18" t="s">
        <v>89</v>
      </c>
      <c r="C18">
        <v>1</v>
      </c>
      <c r="E18">
        <v>1</v>
      </c>
      <c r="N18">
        <v>1</v>
      </c>
      <c r="P18">
        <v>1</v>
      </c>
      <c r="Q18">
        <v>1</v>
      </c>
      <c r="R18">
        <v>1</v>
      </c>
      <c r="V18">
        <v>1</v>
      </c>
      <c r="Z18">
        <v>1</v>
      </c>
      <c r="AM18">
        <v>1</v>
      </c>
    </row>
    <row r="19" spans="1:42" x14ac:dyDescent="0.25">
      <c r="A19" t="s">
        <v>7</v>
      </c>
      <c r="B19">
        <v>1</v>
      </c>
      <c r="C19">
        <v>1</v>
      </c>
      <c r="E19">
        <v>1</v>
      </c>
      <c r="F19">
        <v>-1</v>
      </c>
      <c r="I19">
        <v>1</v>
      </c>
      <c r="K19">
        <v>1</v>
      </c>
      <c r="M19">
        <v>1</v>
      </c>
      <c r="N19">
        <v>1</v>
      </c>
      <c r="O19">
        <v>1</v>
      </c>
      <c r="R19">
        <v>1</v>
      </c>
      <c r="T19">
        <v>1</v>
      </c>
      <c r="AM19">
        <v>1</v>
      </c>
    </row>
    <row r="20" spans="1:42" x14ac:dyDescent="0.25">
      <c r="A20" t="s">
        <v>125</v>
      </c>
      <c r="B20">
        <v>1</v>
      </c>
      <c r="D20">
        <v>1</v>
      </c>
      <c r="F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P20">
        <v>1</v>
      </c>
      <c r="R20">
        <v>1</v>
      </c>
      <c r="T20">
        <v>1</v>
      </c>
      <c r="U20" s="24">
        <v>0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E20">
        <v>1</v>
      </c>
      <c r="AG20">
        <v>1</v>
      </c>
      <c r="AH20">
        <v>1</v>
      </c>
      <c r="AJ20">
        <v>1</v>
      </c>
      <c r="AK20">
        <v>1</v>
      </c>
      <c r="AP20">
        <v>1</v>
      </c>
    </row>
    <row r="21" spans="1:42" x14ac:dyDescent="0.25">
      <c r="A21" t="s">
        <v>116</v>
      </c>
      <c r="L21">
        <v>1</v>
      </c>
      <c r="T21">
        <v>1</v>
      </c>
    </row>
    <row r="22" spans="1:42" x14ac:dyDescent="0.25">
      <c r="A22" t="s">
        <v>76</v>
      </c>
      <c r="B22">
        <v>-1</v>
      </c>
      <c r="D22">
        <v>-1</v>
      </c>
      <c r="K22">
        <v>-1</v>
      </c>
      <c r="N22">
        <v>-1</v>
      </c>
      <c r="P22">
        <v>-1</v>
      </c>
      <c r="T22">
        <v>1</v>
      </c>
    </row>
    <row r="23" spans="1:42" x14ac:dyDescent="0.25">
      <c r="A23" t="s">
        <v>8</v>
      </c>
      <c r="B23">
        <v>1</v>
      </c>
      <c r="D23">
        <v>1</v>
      </c>
      <c r="I23">
        <v>1</v>
      </c>
      <c r="T23">
        <v>1</v>
      </c>
    </row>
    <row r="24" spans="1:42" x14ac:dyDescent="0.25">
      <c r="A24" t="s">
        <v>138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S24">
        <v>1</v>
      </c>
      <c r="T24">
        <v>1</v>
      </c>
      <c r="U24" s="24">
        <v>1</v>
      </c>
      <c r="V24">
        <v>1</v>
      </c>
      <c r="W24">
        <v>1</v>
      </c>
      <c r="X24">
        <v>1</v>
      </c>
      <c r="Y24">
        <v>1</v>
      </c>
      <c r="AA24">
        <v>1</v>
      </c>
      <c r="AD24">
        <v>1</v>
      </c>
      <c r="AE24">
        <v>1</v>
      </c>
      <c r="AF24">
        <v>1</v>
      </c>
      <c r="AG24">
        <v>1</v>
      </c>
      <c r="AI24">
        <v>1</v>
      </c>
      <c r="AJ24">
        <v>1</v>
      </c>
      <c r="AK24">
        <v>1</v>
      </c>
    </row>
    <row r="25" spans="1:42" x14ac:dyDescent="0.25">
      <c r="A25" t="s">
        <v>239</v>
      </c>
      <c r="AD25">
        <v>1</v>
      </c>
      <c r="AH25">
        <v>1</v>
      </c>
      <c r="AJ25">
        <v>1</v>
      </c>
      <c r="AN25">
        <v>1</v>
      </c>
      <c r="AO25">
        <v>1</v>
      </c>
      <c r="AP25">
        <v>1</v>
      </c>
    </row>
    <row r="26" spans="1:42" x14ac:dyDescent="0.25">
      <c r="A26" t="s">
        <v>9</v>
      </c>
      <c r="B26">
        <v>1</v>
      </c>
      <c r="C26">
        <v>1</v>
      </c>
      <c r="F26">
        <v>1</v>
      </c>
      <c r="G26">
        <v>1</v>
      </c>
      <c r="K26">
        <v>1</v>
      </c>
      <c r="M26">
        <v>1</v>
      </c>
      <c r="U26" s="24">
        <v>1</v>
      </c>
      <c r="V26">
        <v>1</v>
      </c>
      <c r="Z26">
        <v>0</v>
      </c>
      <c r="AB26">
        <v>1</v>
      </c>
      <c r="AP26">
        <v>1</v>
      </c>
    </row>
    <row r="27" spans="1:42" x14ac:dyDescent="0.25">
      <c r="A27" t="s">
        <v>81</v>
      </c>
      <c r="B27">
        <v>1</v>
      </c>
      <c r="D27">
        <v>1</v>
      </c>
      <c r="E27">
        <v>1</v>
      </c>
      <c r="I27">
        <v>1</v>
      </c>
      <c r="K27">
        <v>1</v>
      </c>
      <c r="M27">
        <v>0</v>
      </c>
      <c r="N27">
        <v>1</v>
      </c>
      <c r="P27">
        <v>1</v>
      </c>
      <c r="R27">
        <v>1</v>
      </c>
      <c r="T27">
        <v>1</v>
      </c>
      <c r="U27" s="24">
        <v>1</v>
      </c>
      <c r="V27">
        <v>1</v>
      </c>
      <c r="W27">
        <v>1</v>
      </c>
      <c r="Y27">
        <v>1</v>
      </c>
      <c r="Z27">
        <v>1</v>
      </c>
      <c r="AD27">
        <v>1</v>
      </c>
      <c r="AP27">
        <v>1</v>
      </c>
    </row>
    <row r="28" spans="1:42" x14ac:dyDescent="0.25">
      <c r="A28" t="s">
        <v>79</v>
      </c>
      <c r="B28">
        <v>0</v>
      </c>
      <c r="F28">
        <v>0</v>
      </c>
      <c r="H28">
        <v>1</v>
      </c>
      <c r="I28">
        <v>1</v>
      </c>
      <c r="J28">
        <v>1</v>
      </c>
      <c r="K28">
        <v>1</v>
      </c>
      <c r="N28">
        <v>0</v>
      </c>
      <c r="O28">
        <v>1</v>
      </c>
      <c r="Q28">
        <v>1</v>
      </c>
      <c r="T28">
        <v>1</v>
      </c>
      <c r="X28">
        <v>0</v>
      </c>
    </row>
    <row r="29" spans="1:42" x14ac:dyDescent="0.25">
      <c r="A29" t="s">
        <v>10</v>
      </c>
      <c r="B29">
        <v>1</v>
      </c>
      <c r="D29">
        <v>1</v>
      </c>
      <c r="F29">
        <v>1</v>
      </c>
      <c r="H29">
        <v>1</v>
      </c>
      <c r="K29">
        <v>1</v>
      </c>
      <c r="M29">
        <v>1</v>
      </c>
      <c r="Q29">
        <v>1</v>
      </c>
      <c r="R29">
        <v>1</v>
      </c>
      <c r="S29">
        <v>1</v>
      </c>
      <c r="T29">
        <v>1</v>
      </c>
      <c r="U29" s="24">
        <v>1</v>
      </c>
      <c r="V29">
        <v>1</v>
      </c>
      <c r="W29">
        <v>1</v>
      </c>
      <c r="X29">
        <v>1</v>
      </c>
      <c r="Y29">
        <v>1</v>
      </c>
      <c r="Z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K29">
        <v>1</v>
      </c>
      <c r="AM29">
        <v>1</v>
      </c>
      <c r="AN29">
        <v>1</v>
      </c>
      <c r="AP29">
        <v>1</v>
      </c>
    </row>
    <row r="30" spans="1:42" x14ac:dyDescent="0.25">
      <c r="A30" t="s">
        <v>64</v>
      </c>
      <c r="B30">
        <v>0</v>
      </c>
      <c r="D30">
        <v>1</v>
      </c>
      <c r="E30">
        <v>1</v>
      </c>
      <c r="H30">
        <v>1</v>
      </c>
      <c r="J30">
        <v>1</v>
      </c>
      <c r="K30">
        <v>1</v>
      </c>
      <c r="N30">
        <v>1</v>
      </c>
      <c r="S30">
        <v>1</v>
      </c>
      <c r="T30">
        <v>1</v>
      </c>
      <c r="U30" s="24">
        <v>1</v>
      </c>
      <c r="V30">
        <v>1</v>
      </c>
      <c r="W30">
        <v>1</v>
      </c>
      <c r="X30">
        <v>1</v>
      </c>
      <c r="Z30">
        <v>1</v>
      </c>
    </row>
    <row r="31" spans="1:42" x14ac:dyDescent="0.25">
      <c r="A31" t="s">
        <v>67</v>
      </c>
      <c r="B31">
        <v>1</v>
      </c>
      <c r="C31">
        <v>1</v>
      </c>
      <c r="D31">
        <v>1</v>
      </c>
      <c r="E31">
        <v>1</v>
      </c>
      <c r="F31">
        <v>0</v>
      </c>
      <c r="G31">
        <v>1</v>
      </c>
      <c r="H31">
        <v>1</v>
      </c>
      <c r="J31">
        <v>1</v>
      </c>
      <c r="K31">
        <v>1</v>
      </c>
      <c r="N31">
        <v>1</v>
      </c>
      <c r="O31">
        <v>1</v>
      </c>
      <c r="Q31">
        <v>1</v>
      </c>
      <c r="R31">
        <v>1</v>
      </c>
      <c r="T31">
        <v>1</v>
      </c>
      <c r="V31">
        <v>0</v>
      </c>
      <c r="W31">
        <v>0</v>
      </c>
      <c r="Y31">
        <v>1</v>
      </c>
      <c r="Z31">
        <v>1</v>
      </c>
      <c r="AC31">
        <v>1</v>
      </c>
      <c r="AF31">
        <v>1</v>
      </c>
      <c r="AI31">
        <v>-1</v>
      </c>
      <c r="AJ31">
        <v>1</v>
      </c>
      <c r="AL31">
        <v>0</v>
      </c>
      <c r="AM31">
        <v>1</v>
      </c>
    </row>
    <row r="32" spans="1:42" x14ac:dyDescent="0.25">
      <c r="A32" t="s">
        <v>82</v>
      </c>
      <c r="C32">
        <v>1</v>
      </c>
      <c r="D32">
        <v>1</v>
      </c>
      <c r="E32">
        <v>1</v>
      </c>
      <c r="F32">
        <v>1</v>
      </c>
      <c r="G32">
        <v>1</v>
      </c>
      <c r="L32">
        <v>1</v>
      </c>
      <c r="P32">
        <v>1</v>
      </c>
      <c r="R32">
        <v>1</v>
      </c>
      <c r="T32">
        <v>1</v>
      </c>
      <c r="W32">
        <v>1</v>
      </c>
      <c r="AC32">
        <v>1</v>
      </c>
      <c r="AJ32">
        <v>1</v>
      </c>
      <c r="AL32">
        <v>1</v>
      </c>
      <c r="AM32">
        <v>1</v>
      </c>
      <c r="AN32">
        <v>1</v>
      </c>
      <c r="AO32">
        <v>1</v>
      </c>
      <c r="AP32">
        <v>1</v>
      </c>
    </row>
    <row r="33" spans="1:42" x14ac:dyDescent="0.25">
      <c r="A33" t="s">
        <v>12</v>
      </c>
      <c r="B33">
        <v>1</v>
      </c>
      <c r="C33">
        <v>1</v>
      </c>
      <c r="E33">
        <v>1</v>
      </c>
      <c r="F33">
        <v>1</v>
      </c>
      <c r="G33">
        <v>1</v>
      </c>
      <c r="J33">
        <v>1</v>
      </c>
      <c r="K33">
        <v>1</v>
      </c>
      <c r="M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V33">
        <v>1</v>
      </c>
      <c r="W33">
        <v>1</v>
      </c>
      <c r="X33">
        <v>1</v>
      </c>
      <c r="Z33">
        <v>1</v>
      </c>
      <c r="AB33">
        <v>0</v>
      </c>
      <c r="AD33">
        <v>1</v>
      </c>
      <c r="AE33">
        <v>1</v>
      </c>
      <c r="AG33">
        <v>1</v>
      </c>
      <c r="AH33">
        <v>1</v>
      </c>
      <c r="AJ33">
        <v>1</v>
      </c>
      <c r="AK33">
        <v>1</v>
      </c>
      <c r="AM33">
        <v>1</v>
      </c>
    </row>
    <row r="34" spans="1:42" x14ac:dyDescent="0.25">
      <c r="A34" t="s">
        <v>4</v>
      </c>
      <c r="T34">
        <v>1</v>
      </c>
    </row>
    <row r="35" spans="1:42" x14ac:dyDescent="0.25">
      <c r="A35" t="s">
        <v>78</v>
      </c>
      <c r="B35">
        <v>1</v>
      </c>
      <c r="Y35">
        <v>0</v>
      </c>
    </row>
    <row r="36" spans="1:42" x14ac:dyDescent="0.25">
      <c r="A36" t="s">
        <v>90</v>
      </c>
    </row>
    <row r="37" spans="1:42" x14ac:dyDescent="0.25">
      <c r="A37" t="s">
        <v>13</v>
      </c>
      <c r="B37">
        <v>0</v>
      </c>
      <c r="E37">
        <v>1</v>
      </c>
      <c r="F37">
        <v>0</v>
      </c>
      <c r="G37">
        <v>1</v>
      </c>
      <c r="K37">
        <v>1</v>
      </c>
      <c r="M37">
        <v>1</v>
      </c>
      <c r="Q37">
        <v>1</v>
      </c>
      <c r="S37">
        <v>0</v>
      </c>
      <c r="AH37">
        <v>1</v>
      </c>
      <c r="AI37">
        <v>1</v>
      </c>
      <c r="AJ37">
        <v>0</v>
      </c>
      <c r="AL37">
        <v>1</v>
      </c>
      <c r="AN37">
        <v>1</v>
      </c>
      <c r="AP37">
        <v>1</v>
      </c>
    </row>
    <row r="38" spans="1:42" x14ac:dyDescent="0.25">
      <c r="A38" t="s">
        <v>201</v>
      </c>
      <c r="U38" s="24">
        <v>1</v>
      </c>
      <c r="V38">
        <v>1</v>
      </c>
      <c r="Z38">
        <v>1</v>
      </c>
      <c r="AA38">
        <v>1</v>
      </c>
      <c r="AC38">
        <v>1</v>
      </c>
      <c r="AG38">
        <v>1</v>
      </c>
      <c r="AI38">
        <v>1</v>
      </c>
      <c r="AM38">
        <v>1</v>
      </c>
    </row>
    <row r="39" spans="1:42" x14ac:dyDescent="0.25">
      <c r="A39" t="s">
        <v>88</v>
      </c>
      <c r="C39">
        <v>1</v>
      </c>
      <c r="F39">
        <v>1</v>
      </c>
      <c r="N39">
        <v>1</v>
      </c>
      <c r="P39">
        <v>1</v>
      </c>
      <c r="T39">
        <v>1</v>
      </c>
      <c r="U39" s="24">
        <v>1</v>
      </c>
      <c r="V39">
        <v>1</v>
      </c>
      <c r="W39">
        <v>1</v>
      </c>
      <c r="X39">
        <v>1</v>
      </c>
      <c r="Y39">
        <v>1</v>
      </c>
      <c r="Z39">
        <v>1</v>
      </c>
      <c r="AD39">
        <v>1</v>
      </c>
      <c r="AE39">
        <v>1</v>
      </c>
      <c r="AI39">
        <v>1</v>
      </c>
      <c r="AM39">
        <v>1</v>
      </c>
      <c r="AO39">
        <v>1</v>
      </c>
    </row>
    <row r="40" spans="1:42" x14ac:dyDescent="0.25">
      <c r="A40" t="s">
        <v>93</v>
      </c>
      <c r="C40">
        <v>1</v>
      </c>
      <c r="D40">
        <v>1</v>
      </c>
      <c r="E40">
        <v>1</v>
      </c>
      <c r="F40">
        <v>1</v>
      </c>
      <c r="G40">
        <v>1</v>
      </c>
      <c r="L40">
        <v>1</v>
      </c>
      <c r="R40">
        <v>1</v>
      </c>
      <c r="S40">
        <v>1</v>
      </c>
      <c r="T40">
        <v>1</v>
      </c>
      <c r="W40">
        <v>0</v>
      </c>
      <c r="Z40">
        <v>1</v>
      </c>
      <c r="AC40">
        <v>1</v>
      </c>
      <c r="AF40">
        <v>1</v>
      </c>
      <c r="AJ40">
        <v>1</v>
      </c>
      <c r="AL40">
        <v>1</v>
      </c>
      <c r="AM40">
        <v>1</v>
      </c>
      <c r="AN40">
        <v>1</v>
      </c>
      <c r="AO40">
        <v>1</v>
      </c>
    </row>
    <row r="41" spans="1:42" x14ac:dyDescent="0.25">
      <c r="A41" t="s">
        <v>91</v>
      </c>
      <c r="C41">
        <v>1</v>
      </c>
      <c r="F41">
        <v>1</v>
      </c>
    </row>
    <row r="42" spans="1:42" x14ac:dyDescent="0.25">
      <c r="A42" t="s">
        <v>5</v>
      </c>
      <c r="B42">
        <v>1</v>
      </c>
    </row>
    <row r="43" spans="1:42" x14ac:dyDescent="0.25">
      <c r="A43" t="s">
        <v>73</v>
      </c>
      <c r="B43">
        <v>1</v>
      </c>
      <c r="I43">
        <v>1</v>
      </c>
      <c r="J43">
        <v>1</v>
      </c>
      <c r="K43">
        <v>1</v>
      </c>
      <c r="Q43">
        <v>1</v>
      </c>
      <c r="S43">
        <v>1</v>
      </c>
      <c r="T43">
        <v>1</v>
      </c>
      <c r="U43" s="24">
        <v>1</v>
      </c>
      <c r="AF43">
        <v>1</v>
      </c>
    </row>
    <row r="44" spans="1:42" x14ac:dyDescent="0.25">
      <c r="A44" t="s">
        <v>74</v>
      </c>
      <c r="B44">
        <v>1</v>
      </c>
      <c r="C44">
        <v>1</v>
      </c>
      <c r="D44">
        <v>-1</v>
      </c>
      <c r="G44">
        <v>1</v>
      </c>
      <c r="H44">
        <v>1</v>
      </c>
      <c r="T44">
        <v>1</v>
      </c>
      <c r="V44">
        <v>1</v>
      </c>
      <c r="W44">
        <v>1</v>
      </c>
      <c r="X44">
        <v>1</v>
      </c>
      <c r="Z44">
        <v>1</v>
      </c>
      <c r="AA44">
        <v>1</v>
      </c>
      <c r="AM44">
        <v>-1</v>
      </c>
    </row>
    <row r="45" spans="1:42" x14ac:dyDescent="0.25">
      <c r="A45" t="s">
        <v>68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R45">
        <v>1</v>
      </c>
      <c r="S45">
        <v>1</v>
      </c>
      <c r="T45">
        <v>1</v>
      </c>
      <c r="U45" s="24">
        <v>1</v>
      </c>
      <c r="V45">
        <v>1</v>
      </c>
      <c r="W45">
        <v>1</v>
      </c>
      <c r="X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1</v>
      </c>
      <c r="AL45">
        <v>1</v>
      </c>
      <c r="AM45">
        <v>1</v>
      </c>
      <c r="AN45">
        <v>1</v>
      </c>
      <c r="AO45">
        <v>1</v>
      </c>
      <c r="AP45">
        <v>1</v>
      </c>
    </row>
    <row r="46" spans="1:42" x14ac:dyDescent="0.25">
      <c r="A46" t="s">
        <v>72</v>
      </c>
      <c r="B46">
        <v>1</v>
      </c>
      <c r="D46">
        <v>1</v>
      </c>
      <c r="F46">
        <v>1</v>
      </c>
      <c r="G46">
        <v>1</v>
      </c>
      <c r="O46">
        <v>1</v>
      </c>
      <c r="P46">
        <v>1</v>
      </c>
      <c r="Q46">
        <v>1</v>
      </c>
      <c r="R46">
        <v>1</v>
      </c>
      <c r="T46">
        <v>1</v>
      </c>
      <c r="AA46">
        <v>1</v>
      </c>
      <c r="AB46">
        <v>1</v>
      </c>
      <c r="AD46">
        <v>1</v>
      </c>
      <c r="AF46">
        <v>1</v>
      </c>
      <c r="AG46">
        <v>1</v>
      </c>
      <c r="AH46">
        <v>1</v>
      </c>
      <c r="AI46">
        <v>1</v>
      </c>
      <c r="AJ46">
        <v>1</v>
      </c>
      <c r="AK46">
        <v>1</v>
      </c>
      <c r="AL46">
        <v>1</v>
      </c>
      <c r="AM46">
        <v>1</v>
      </c>
      <c r="AN46">
        <v>1</v>
      </c>
      <c r="AO46">
        <v>1</v>
      </c>
    </row>
    <row r="47" spans="1:42" x14ac:dyDescent="0.25">
      <c r="A47" t="s">
        <v>94</v>
      </c>
      <c r="D47">
        <v>1</v>
      </c>
      <c r="E47">
        <v>1</v>
      </c>
      <c r="J47">
        <v>1</v>
      </c>
      <c r="L47">
        <v>1</v>
      </c>
      <c r="M47">
        <v>1</v>
      </c>
      <c r="T47">
        <v>1</v>
      </c>
      <c r="V47">
        <v>1</v>
      </c>
      <c r="AD47">
        <v>1</v>
      </c>
      <c r="AF47">
        <v>1</v>
      </c>
      <c r="AI47">
        <v>1</v>
      </c>
      <c r="AM47">
        <v>1</v>
      </c>
    </row>
    <row r="48" spans="1:42" x14ac:dyDescent="0.25">
      <c r="A48" t="s">
        <v>199</v>
      </c>
      <c r="R48">
        <v>1</v>
      </c>
      <c r="S48">
        <v>1</v>
      </c>
      <c r="T48">
        <v>1</v>
      </c>
      <c r="U48" s="24">
        <v>1</v>
      </c>
      <c r="V48">
        <v>1</v>
      </c>
      <c r="X48">
        <v>1</v>
      </c>
      <c r="Y48">
        <v>1</v>
      </c>
      <c r="Z48">
        <v>1</v>
      </c>
      <c r="AA48">
        <v>1</v>
      </c>
      <c r="AB48">
        <v>1</v>
      </c>
      <c r="AE48">
        <v>1</v>
      </c>
      <c r="AF48">
        <v>1</v>
      </c>
      <c r="AG48">
        <v>1</v>
      </c>
      <c r="AH48">
        <v>1</v>
      </c>
      <c r="AO48">
        <v>-1</v>
      </c>
      <c r="AP48">
        <v>1</v>
      </c>
    </row>
    <row r="49" spans="1:42" x14ac:dyDescent="0.25">
      <c r="A49" t="s">
        <v>14</v>
      </c>
      <c r="N49">
        <v>1</v>
      </c>
      <c r="O49">
        <v>1</v>
      </c>
      <c r="Q49">
        <v>1</v>
      </c>
      <c r="R49">
        <v>1</v>
      </c>
      <c r="S49">
        <v>1</v>
      </c>
      <c r="T49">
        <v>1</v>
      </c>
      <c r="X49">
        <v>1</v>
      </c>
      <c r="Y49">
        <v>1</v>
      </c>
      <c r="Z49">
        <v>1</v>
      </c>
      <c r="AD49">
        <v>1</v>
      </c>
      <c r="AE49">
        <v>1</v>
      </c>
    </row>
    <row r="50" spans="1:42" x14ac:dyDescent="0.25">
      <c r="A50" t="s">
        <v>2</v>
      </c>
      <c r="B50">
        <v>1</v>
      </c>
      <c r="C50">
        <v>0</v>
      </c>
      <c r="D50">
        <v>1</v>
      </c>
      <c r="H50">
        <v>1</v>
      </c>
      <c r="I50">
        <v>1</v>
      </c>
      <c r="S50">
        <v>1</v>
      </c>
      <c r="T50">
        <v>1</v>
      </c>
      <c r="U50" s="24">
        <v>1</v>
      </c>
      <c r="V50">
        <v>1</v>
      </c>
      <c r="Z50">
        <v>1</v>
      </c>
      <c r="AA50">
        <v>1</v>
      </c>
      <c r="AB50">
        <v>1</v>
      </c>
      <c r="AD50">
        <v>1</v>
      </c>
      <c r="AE50">
        <v>0</v>
      </c>
      <c r="AG50">
        <v>1</v>
      </c>
      <c r="AK50">
        <v>1</v>
      </c>
      <c r="AM50">
        <v>1</v>
      </c>
    </row>
    <row r="51" spans="1:42" x14ac:dyDescent="0.25">
      <c r="A51" t="s">
        <v>95</v>
      </c>
      <c r="N51">
        <v>1</v>
      </c>
      <c r="O51">
        <v>1</v>
      </c>
      <c r="T51">
        <v>1</v>
      </c>
      <c r="Z51">
        <v>1</v>
      </c>
      <c r="AB51">
        <v>1</v>
      </c>
      <c r="AC51">
        <v>1</v>
      </c>
      <c r="AD51">
        <v>1</v>
      </c>
      <c r="AL51">
        <v>1</v>
      </c>
      <c r="AO51">
        <v>1</v>
      </c>
    </row>
    <row r="52" spans="1:42" x14ac:dyDescent="0.25">
      <c r="A52" t="s">
        <v>96</v>
      </c>
      <c r="C52">
        <v>1</v>
      </c>
      <c r="E52">
        <v>1</v>
      </c>
      <c r="O52">
        <v>1</v>
      </c>
      <c r="R52">
        <v>1</v>
      </c>
      <c r="S52">
        <v>1</v>
      </c>
      <c r="T52">
        <v>1</v>
      </c>
      <c r="Y52">
        <v>0</v>
      </c>
      <c r="Z52">
        <v>1</v>
      </c>
    </row>
    <row r="53" spans="1:42" x14ac:dyDescent="0.25">
      <c r="A53" t="s">
        <v>195</v>
      </c>
      <c r="B53">
        <v>1</v>
      </c>
      <c r="D53">
        <v>1</v>
      </c>
      <c r="J53">
        <v>1</v>
      </c>
      <c r="N53">
        <v>1</v>
      </c>
      <c r="Q53">
        <v>1</v>
      </c>
      <c r="U53" s="24">
        <v>1</v>
      </c>
      <c r="V53">
        <v>0</v>
      </c>
      <c r="Y53">
        <v>1</v>
      </c>
      <c r="Z53">
        <v>1</v>
      </c>
      <c r="AA53">
        <v>1</v>
      </c>
      <c r="AE53">
        <v>1</v>
      </c>
    </row>
    <row r="54" spans="1:42" x14ac:dyDescent="0.25">
      <c r="A54" t="s">
        <v>97</v>
      </c>
    </row>
    <row r="55" spans="1:42" x14ac:dyDescent="0.25">
      <c r="A55" t="s">
        <v>80</v>
      </c>
      <c r="L55">
        <v>1</v>
      </c>
      <c r="O55">
        <v>1</v>
      </c>
      <c r="Q55">
        <v>1</v>
      </c>
      <c r="T55">
        <v>1</v>
      </c>
      <c r="V55">
        <v>1</v>
      </c>
    </row>
    <row r="56" spans="1:42" x14ac:dyDescent="0.25">
      <c r="A56" t="s">
        <v>3</v>
      </c>
      <c r="N56">
        <v>1</v>
      </c>
      <c r="O56">
        <v>1</v>
      </c>
      <c r="Q56">
        <v>1</v>
      </c>
      <c r="R56">
        <v>1</v>
      </c>
      <c r="S56">
        <v>1</v>
      </c>
      <c r="T56">
        <v>1</v>
      </c>
      <c r="Y56">
        <v>1</v>
      </c>
      <c r="Z56">
        <v>1</v>
      </c>
      <c r="AE56">
        <v>1</v>
      </c>
    </row>
    <row r="57" spans="1:42" x14ac:dyDescent="0.25">
      <c r="A57" t="s">
        <v>98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M57">
        <v>1</v>
      </c>
      <c r="N57">
        <v>1</v>
      </c>
      <c r="O57">
        <v>1</v>
      </c>
      <c r="R57">
        <v>1</v>
      </c>
      <c r="S57">
        <v>1</v>
      </c>
      <c r="T57">
        <v>1</v>
      </c>
      <c r="U57" s="24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>
        <v>1</v>
      </c>
      <c r="AH57">
        <v>1</v>
      </c>
      <c r="AI57">
        <v>1</v>
      </c>
      <c r="AK57">
        <v>1</v>
      </c>
      <c r="AL57">
        <v>1</v>
      </c>
      <c r="AM57">
        <v>-1</v>
      </c>
      <c r="AN57">
        <v>1</v>
      </c>
      <c r="AO57">
        <v>1</v>
      </c>
      <c r="AP57">
        <v>1</v>
      </c>
    </row>
    <row r="61" spans="1:42" x14ac:dyDescent="0.25">
      <c r="A61" s="7" t="s">
        <v>107</v>
      </c>
      <c r="B61" s="8"/>
    </row>
    <row r="62" spans="1:42" x14ac:dyDescent="0.25">
      <c r="A62" s="7" t="s">
        <v>108</v>
      </c>
      <c r="B62" s="8"/>
    </row>
    <row r="63" spans="1:42" x14ac:dyDescent="0.25">
      <c r="A63" s="7" t="s">
        <v>109</v>
      </c>
      <c r="B63" s="8"/>
    </row>
    <row r="64" spans="1:42" x14ac:dyDescent="0.25">
      <c r="S64" s="3"/>
    </row>
  </sheetData>
  <sortState xmlns:xlrd2="http://schemas.microsoft.com/office/spreadsheetml/2017/richdata2" ref="A2:I57">
    <sortCondition ref="A2:A57"/>
  </sortState>
  <phoneticPr fontId="2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15AB4-2C37-4EC7-98BC-0417436407E8}">
  <sheetPr codeName="Hoja6"/>
  <dimension ref="A1:B54"/>
  <sheetViews>
    <sheetView zoomScale="115" zoomScaleNormal="115" workbookViewId="0">
      <selection activeCell="B61" sqref="B61"/>
    </sheetView>
  </sheetViews>
  <sheetFormatPr baseColWidth="10" defaultRowHeight="15" x14ac:dyDescent="0.25"/>
  <cols>
    <col min="1" max="1" width="16.5703125" bestFit="1" customWidth="1"/>
    <col min="2" max="2" width="18.7109375" bestFit="1" customWidth="1"/>
  </cols>
  <sheetData>
    <row r="1" spans="1:2" x14ac:dyDescent="0.25">
      <c r="A1" t="s">
        <v>102</v>
      </c>
      <c r="B1" t="s">
        <v>124</v>
      </c>
    </row>
    <row r="2" spans="1:2" x14ac:dyDescent="0.25">
      <c r="A2" t="s">
        <v>85</v>
      </c>
      <c r="B2">
        <v>1</v>
      </c>
    </row>
    <row r="3" spans="1:2" x14ac:dyDescent="0.25">
      <c r="A3" t="s">
        <v>4</v>
      </c>
      <c r="B3">
        <v>1</v>
      </c>
    </row>
    <row r="4" spans="1:2" x14ac:dyDescent="0.25">
      <c r="A4" t="s">
        <v>78</v>
      </c>
      <c r="B4">
        <v>1</v>
      </c>
    </row>
    <row r="5" spans="1:2" x14ac:dyDescent="0.25">
      <c r="A5" t="s">
        <v>5</v>
      </c>
      <c r="B5">
        <v>1</v>
      </c>
    </row>
    <row r="6" spans="1:2" x14ac:dyDescent="0.25">
      <c r="A6" t="s">
        <v>141</v>
      </c>
      <c r="B6">
        <v>2</v>
      </c>
    </row>
    <row r="7" spans="1:2" x14ac:dyDescent="0.25">
      <c r="A7" t="s">
        <v>1</v>
      </c>
      <c r="B7">
        <v>2</v>
      </c>
    </row>
    <row r="8" spans="1:2" x14ac:dyDescent="0.25">
      <c r="A8" t="s">
        <v>116</v>
      </c>
      <c r="B8">
        <v>2</v>
      </c>
    </row>
    <row r="9" spans="1:2" x14ac:dyDescent="0.25">
      <c r="A9" t="s">
        <v>91</v>
      </c>
      <c r="B9">
        <v>2</v>
      </c>
    </row>
    <row r="10" spans="1:2" x14ac:dyDescent="0.25">
      <c r="A10" t="s">
        <v>8</v>
      </c>
      <c r="B10">
        <v>4</v>
      </c>
    </row>
    <row r="11" spans="1:2" x14ac:dyDescent="0.25">
      <c r="A11" t="s">
        <v>87</v>
      </c>
      <c r="B11">
        <v>5</v>
      </c>
    </row>
    <row r="12" spans="1:2" x14ac:dyDescent="0.25">
      <c r="A12" t="s">
        <v>6</v>
      </c>
      <c r="B12">
        <v>5</v>
      </c>
    </row>
    <row r="13" spans="1:2" x14ac:dyDescent="0.25">
      <c r="A13" t="s">
        <v>80</v>
      </c>
      <c r="B13">
        <v>5</v>
      </c>
    </row>
    <row r="14" spans="1:2" x14ac:dyDescent="0.25">
      <c r="A14" t="s">
        <v>239</v>
      </c>
      <c r="B14">
        <v>6</v>
      </c>
    </row>
    <row r="15" spans="1:2" x14ac:dyDescent="0.25">
      <c r="A15" t="s">
        <v>65</v>
      </c>
      <c r="B15">
        <v>7</v>
      </c>
    </row>
    <row r="16" spans="1:2" x14ac:dyDescent="0.25">
      <c r="A16" t="s">
        <v>79</v>
      </c>
      <c r="B16">
        <v>7</v>
      </c>
    </row>
    <row r="17" spans="1:2" x14ac:dyDescent="0.25">
      <c r="A17" t="s">
        <v>96</v>
      </c>
      <c r="B17">
        <v>7</v>
      </c>
    </row>
    <row r="18" spans="1:2" x14ac:dyDescent="0.25">
      <c r="A18" t="s">
        <v>84</v>
      </c>
      <c r="B18">
        <v>8</v>
      </c>
    </row>
    <row r="19" spans="1:2" x14ac:dyDescent="0.25">
      <c r="A19" t="s">
        <v>201</v>
      </c>
      <c r="B19">
        <v>8</v>
      </c>
    </row>
    <row r="20" spans="1:2" x14ac:dyDescent="0.25">
      <c r="A20" t="s">
        <v>74</v>
      </c>
      <c r="B20">
        <v>8</v>
      </c>
    </row>
    <row r="21" spans="1:2" x14ac:dyDescent="0.25">
      <c r="A21" t="s">
        <v>89</v>
      </c>
      <c r="B21">
        <v>9</v>
      </c>
    </row>
    <row r="22" spans="1:2" x14ac:dyDescent="0.25">
      <c r="A22" t="s">
        <v>73</v>
      </c>
      <c r="B22">
        <v>9</v>
      </c>
    </row>
    <row r="23" spans="1:2" x14ac:dyDescent="0.25">
      <c r="A23" t="s">
        <v>95</v>
      </c>
      <c r="B23">
        <v>9</v>
      </c>
    </row>
    <row r="24" spans="1:2" x14ac:dyDescent="0.25">
      <c r="A24" t="s">
        <v>3</v>
      </c>
      <c r="B24">
        <v>9</v>
      </c>
    </row>
    <row r="25" spans="1:2" x14ac:dyDescent="0.25">
      <c r="A25" t="s">
        <v>69</v>
      </c>
      <c r="B25">
        <v>10</v>
      </c>
    </row>
    <row r="26" spans="1:2" x14ac:dyDescent="0.25">
      <c r="A26" t="s">
        <v>7</v>
      </c>
      <c r="B26">
        <v>10</v>
      </c>
    </row>
    <row r="27" spans="1:2" x14ac:dyDescent="0.25">
      <c r="A27" t="s">
        <v>9</v>
      </c>
      <c r="B27">
        <v>10</v>
      </c>
    </row>
    <row r="28" spans="1:2" x14ac:dyDescent="0.25">
      <c r="A28" t="s">
        <v>13</v>
      </c>
      <c r="B28">
        <v>10</v>
      </c>
    </row>
    <row r="29" spans="1:2" x14ac:dyDescent="0.25">
      <c r="A29" t="s">
        <v>195</v>
      </c>
      <c r="B29">
        <v>10</v>
      </c>
    </row>
    <row r="30" spans="1:2" x14ac:dyDescent="0.25">
      <c r="A30" t="s">
        <v>71</v>
      </c>
      <c r="B30">
        <v>11</v>
      </c>
    </row>
    <row r="31" spans="1:2" x14ac:dyDescent="0.25">
      <c r="A31" t="s">
        <v>94</v>
      </c>
      <c r="B31">
        <v>11</v>
      </c>
    </row>
    <row r="32" spans="1:2" x14ac:dyDescent="0.25">
      <c r="A32" t="s">
        <v>14</v>
      </c>
      <c r="B32">
        <v>11</v>
      </c>
    </row>
    <row r="33" spans="1:2" x14ac:dyDescent="0.25">
      <c r="A33" t="s">
        <v>15</v>
      </c>
      <c r="B33">
        <v>13</v>
      </c>
    </row>
    <row r="34" spans="1:2" x14ac:dyDescent="0.25">
      <c r="A34" t="s">
        <v>64</v>
      </c>
      <c r="B34">
        <v>13</v>
      </c>
    </row>
    <row r="35" spans="1:2" x14ac:dyDescent="0.25">
      <c r="A35" t="s">
        <v>224</v>
      </c>
      <c r="B35">
        <v>14</v>
      </c>
    </row>
    <row r="36" spans="1:2" x14ac:dyDescent="0.25">
      <c r="A36" t="s">
        <v>199</v>
      </c>
      <c r="B36">
        <v>14</v>
      </c>
    </row>
    <row r="37" spans="1:2" x14ac:dyDescent="0.25">
      <c r="A37" t="s">
        <v>2</v>
      </c>
      <c r="B37">
        <v>15</v>
      </c>
    </row>
    <row r="38" spans="1:2" x14ac:dyDescent="0.25">
      <c r="A38" t="s">
        <v>81</v>
      </c>
      <c r="B38">
        <v>16</v>
      </c>
    </row>
    <row r="39" spans="1:2" x14ac:dyDescent="0.25">
      <c r="A39" t="s">
        <v>88</v>
      </c>
      <c r="B39">
        <v>16</v>
      </c>
    </row>
    <row r="40" spans="1:2" x14ac:dyDescent="0.25">
      <c r="A40" t="s">
        <v>82</v>
      </c>
      <c r="B40">
        <v>17</v>
      </c>
    </row>
    <row r="41" spans="1:2" x14ac:dyDescent="0.25">
      <c r="A41" t="s">
        <v>93</v>
      </c>
      <c r="B41">
        <v>17</v>
      </c>
    </row>
    <row r="42" spans="1:2" x14ac:dyDescent="0.25">
      <c r="A42" t="s">
        <v>0</v>
      </c>
      <c r="B42">
        <v>18</v>
      </c>
    </row>
    <row r="43" spans="1:2" x14ac:dyDescent="0.25">
      <c r="A43" t="s">
        <v>67</v>
      </c>
      <c r="B43">
        <v>18</v>
      </c>
    </row>
    <row r="44" spans="1:2" x14ac:dyDescent="0.25">
      <c r="A44" t="s">
        <v>70</v>
      </c>
      <c r="B44">
        <v>20</v>
      </c>
    </row>
    <row r="45" spans="1:2" x14ac:dyDescent="0.25">
      <c r="A45" t="s">
        <v>138</v>
      </c>
      <c r="B45">
        <v>21</v>
      </c>
    </row>
    <row r="46" spans="1:2" x14ac:dyDescent="0.25">
      <c r="A46" t="s">
        <v>72</v>
      </c>
      <c r="B46">
        <v>22</v>
      </c>
    </row>
    <row r="47" spans="1:2" x14ac:dyDescent="0.25">
      <c r="A47" t="s">
        <v>10</v>
      </c>
      <c r="B47">
        <v>25</v>
      </c>
    </row>
    <row r="48" spans="1:2" x14ac:dyDescent="0.25">
      <c r="A48" t="s">
        <v>12</v>
      </c>
      <c r="B48">
        <v>25</v>
      </c>
    </row>
    <row r="49" spans="1:2" x14ac:dyDescent="0.25">
      <c r="A49" t="s">
        <v>75</v>
      </c>
      <c r="B49">
        <v>26</v>
      </c>
    </row>
    <row r="50" spans="1:2" x14ac:dyDescent="0.25">
      <c r="A50" t="s">
        <v>125</v>
      </c>
      <c r="B50">
        <v>27</v>
      </c>
    </row>
    <row r="51" spans="1:2" x14ac:dyDescent="0.25">
      <c r="A51" t="s">
        <v>66</v>
      </c>
      <c r="B51">
        <v>31</v>
      </c>
    </row>
    <row r="52" spans="1:2" x14ac:dyDescent="0.25">
      <c r="A52" t="s">
        <v>98</v>
      </c>
      <c r="B52">
        <v>31</v>
      </c>
    </row>
    <row r="53" spans="1:2" x14ac:dyDescent="0.25">
      <c r="A53" t="s">
        <v>77</v>
      </c>
      <c r="B53">
        <v>39</v>
      </c>
    </row>
    <row r="54" spans="1:2" x14ac:dyDescent="0.25">
      <c r="A54" t="s">
        <v>68</v>
      </c>
      <c r="B54">
        <v>40</v>
      </c>
    </row>
  </sheetData>
  <sortState xmlns:xlrd2="http://schemas.microsoft.com/office/spreadsheetml/2017/richdata2" ref="A2:B54">
    <sortCondition ref="B2:B54"/>
  </sortState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A097B-9B43-4777-87C3-23467BA849D0}">
  <dimension ref="A1:A2"/>
  <sheetViews>
    <sheetView workbookViewId="0">
      <selection activeCell="A3" sqref="A3"/>
    </sheetView>
  </sheetViews>
  <sheetFormatPr baseColWidth="10" defaultRowHeight="15" x14ac:dyDescent="0.25"/>
  <sheetData>
    <row r="1" spans="1:1" x14ac:dyDescent="0.25">
      <c r="A1" t="s">
        <v>10</v>
      </c>
    </row>
    <row r="2" spans="1:1" x14ac:dyDescent="0.25">
      <c r="A2" t="s">
        <v>224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INFO GENERAL</vt:lpstr>
      <vt:lpstr>RESPONSABLES</vt:lpstr>
      <vt:lpstr>CALENDARIO_EVENTOS</vt:lpstr>
      <vt:lpstr>CUOTAS</vt:lpstr>
      <vt:lpstr>DORSALES</vt:lpstr>
      <vt:lpstr>CENA_NAVIDAD</vt:lpstr>
      <vt:lpstr>CONTROL_ASISTENCIAS</vt:lpstr>
      <vt:lpstr>ESTADISTICAS</vt:lpstr>
      <vt:lpstr>LISTA_VIAJE_2027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PACOG</dc:creator>
  <cp:lastModifiedBy>francisco gomez losada</cp:lastModifiedBy>
  <dcterms:created xsi:type="dcterms:W3CDTF">2025-09-08T11:00:57Z</dcterms:created>
  <dcterms:modified xsi:type="dcterms:W3CDTF">2026-06-11T07:17:42Z</dcterms:modified>
</cp:coreProperties>
</file>